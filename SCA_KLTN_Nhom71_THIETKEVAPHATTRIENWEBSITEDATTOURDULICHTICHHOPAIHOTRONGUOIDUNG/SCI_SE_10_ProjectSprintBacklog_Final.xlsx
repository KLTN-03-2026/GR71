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SCA_KLTN_Nhom71_THIETKEVAPHATTRIENWEBSITEDATT\"/>
    </mc:Choice>
  </mc:AlternateContent>
  <xr:revisionPtr revIDLastSave="0" documentId="13_ncr:1_{A4480DA4-6D94-4CF7-B271-E1B555F9DD44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Sprint 1" sheetId="1" r:id="rId1"/>
    <sheet name="Sprint 2" sheetId="2" r:id="rId2"/>
    <sheet name="Sprint 3" sheetId="3" r:id="rId3"/>
    <sheet name="Total" sheetId="4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D72" i="3" l="1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G72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G71" i="3"/>
  <c r="E12" i="3"/>
  <c r="K6" i="4" s="1"/>
  <c r="D12" i="3"/>
  <c r="J6" i="4" s="1"/>
  <c r="E11" i="3"/>
  <c r="I6" i="4" s="1"/>
  <c r="D11" i="3"/>
  <c r="H6" i="4" s="1"/>
  <c r="E10" i="3"/>
  <c r="G6" i="4" s="1"/>
  <c r="D10" i="3"/>
  <c r="F6" i="4" s="1"/>
  <c r="E9" i="3"/>
  <c r="E6" i="4" s="1"/>
  <c r="D9" i="3"/>
  <c r="D6" i="4" s="1"/>
  <c r="E8" i="3"/>
  <c r="D8" i="3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G77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G76" i="2"/>
  <c r="E12" i="2"/>
  <c r="K5" i="4" s="1"/>
  <c r="D12" i="2"/>
  <c r="J5" i="4" s="1"/>
  <c r="E11" i="2"/>
  <c r="I5" i="4" s="1"/>
  <c r="D11" i="2"/>
  <c r="H5" i="4" s="1"/>
  <c r="E10" i="2"/>
  <c r="G5" i="4" s="1"/>
  <c r="D10" i="2"/>
  <c r="F5" i="4" s="1"/>
  <c r="E9" i="2"/>
  <c r="E5" i="4" s="1"/>
  <c r="D9" i="2"/>
  <c r="D5" i="4" s="1"/>
  <c r="E8" i="2"/>
  <c r="D8" i="2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G75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G74" i="1"/>
  <c r="E12" i="1"/>
  <c r="K4" i="4" s="1"/>
  <c r="D12" i="1"/>
  <c r="J4" i="4" s="1"/>
  <c r="E11" i="1"/>
  <c r="I4" i="4" s="1"/>
  <c r="D11" i="1"/>
  <c r="H4" i="4" s="1"/>
  <c r="E10" i="1"/>
  <c r="G4" i="4" s="1"/>
  <c r="D10" i="1"/>
  <c r="F4" i="4" s="1"/>
  <c r="E9" i="1"/>
  <c r="E4" i="4" s="1"/>
  <c r="D9" i="1"/>
  <c r="D4" i="4" s="1"/>
  <c r="E8" i="1"/>
  <c r="D8" i="1"/>
  <c r="J7" i="4" l="1"/>
  <c r="K7" i="4"/>
  <c r="I7" i="4"/>
  <c r="C6" i="4"/>
  <c r="E13" i="3"/>
  <c r="B6" i="4"/>
  <c r="D13" i="3"/>
  <c r="C5" i="4"/>
  <c r="E13" i="2"/>
  <c r="B5" i="4"/>
  <c r="D13" i="2"/>
  <c r="C4" i="4"/>
  <c r="E13" i="1"/>
  <c r="B4" i="4"/>
  <c r="D13" i="1"/>
  <c r="H7" i="4"/>
  <c r="G7" i="4"/>
  <c r="F7" i="4"/>
  <c r="E7" i="4"/>
  <c r="D7" i="4"/>
  <c r="C7" i="4" l="1"/>
  <c r="F12" i="4" s="1"/>
  <c r="B7" i="4"/>
  <c r="F11" i="4" s="1"/>
</calcChain>
</file>

<file path=xl/sharedStrings.xml><?xml version="1.0" encoding="utf-8"?>
<sst xmlns="http://schemas.openxmlformats.org/spreadsheetml/2006/main" count="485" uniqueCount="223">
  <si>
    <t>Project name:</t>
  </si>
  <si>
    <t>THIẾT KẾ VÀ PHÁT TRIỂN WEBSITE ĐẶT TOUR DU LỊCH TÍCH HỢP AI HỖ TRỢ NGƯỜI DÙNG</t>
  </si>
  <si>
    <t>Kết thúc đúng hạn</t>
  </si>
  <si>
    <t>Module name:</t>
  </si>
  <si>
    <t>Sprint 1</t>
  </si>
  <si>
    <t>Muộn</t>
  </si>
  <si>
    <t>Start date:</t>
  </si>
  <si>
    <t>Trước thời hạn</t>
  </si>
  <si>
    <t>End date:</t>
  </si>
  <si>
    <t>SPRINT 1 REPORT</t>
  </si>
  <si>
    <t>No</t>
  </si>
  <si>
    <t>Thành viên</t>
  </si>
  <si>
    <t>Thực tế</t>
  </si>
  <si>
    <t>Ước tính</t>
  </si>
  <si>
    <t>Tịnh</t>
  </si>
  <si>
    <t>Nhung</t>
  </si>
  <si>
    <t>Hoàng</t>
  </si>
  <si>
    <t>Kiệt</t>
  </si>
  <si>
    <t>Sang</t>
  </si>
  <si>
    <t>Tổng</t>
  </si>
  <si>
    <t>Sprint</t>
  </si>
  <si>
    <t>Compoment</t>
  </si>
  <si>
    <t>Task name</t>
  </si>
  <si>
    <t>Responsible Member</t>
  </si>
  <si>
    <t>Họp kế hoạch Sprint</t>
  </si>
  <si>
    <t>All team</t>
  </si>
  <si>
    <t>Tạo Sprint Backlog 1</t>
  </si>
  <si>
    <t>Tạo tài liệu kiểm thử</t>
  </si>
  <si>
    <t>Tịnh,Nhung</t>
  </si>
  <si>
    <t>User interface design</t>
  </si>
  <si>
    <t>Giao diện đăng nhập</t>
  </si>
  <si>
    <t>Giao diện đăng ký</t>
  </si>
  <si>
    <t>Giao diện tìm kiếm tour</t>
  </si>
  <si>
    <t>Giao diện đặt tour</t>
  </si>
  <si>
    <t>Giao diện thanh toán</t>
  </si>
  <si>
    <t>Giao diện cổng MoMo</t>
  </si>
  <si>
    <t>Giao diện cổng VNPay</t>
  </si>
  <si>
    <t>Giao diện chat AI</t>
  </si>
  <si>
    <t>Review all user interfaces S1</t>
  </si>
  <si>
    <t>Design test case</t>
  </si>
  <si>
    <t>Thiết kế test case đăng nhập</t>
  </si>
  <si>
    <t>Thiết kế test case đăng ký</t>
  </si>
  <si>
    <t>Thiết kế test case tìm kiếm tour</t>
  </si>
  <si>
    <t>Thiết kế test case đặt tour</t>
  </si>
  <si>
    <t>Thiết kế test case thanh toán</t>
  </si>
  <si>
    <t>Thiết kế test case cổng MoMo</t>
  </si>
  <si>
    <t>Thiết kế test case cổng VNPay</t>
  </si>
  <si>
    <t>Thiết kế test case chat AI</t>
  </si>
  <si>
    <t>Review all test cases S1</t>
  </si>
  <si>
    <t>Coding</t>
  </si>
  <si>
    <t>Front-end đăng nhập</t>
  </si>
  <si>
    <t>Back-end đăng nhập</t>
  </si>
  <si>
    <t>Front-end đăng ký</t>
  </si>
  <si>
    <t>Back-end đăng ký</t>
  </si>
  <si>
    <t>Front-end tìm kiếm tour</t>
  </si>
  <si>
    <t>Back-end tìm kiếm tour</t>
  </si>
  <si>
    <t>Front-end đặt tour</t>
  </si>
  <si>
    <t>Back-end đặt tour</t>
  </si>
  <si>
    <t>Front-end thanh toán</t>
  </si>
  <si>
    <t>Back-end thanh toán</t>
  </si>
  <si>
    <t>Tích hợp MoMo</t>
  </si>
  <si>
    <t>Tích hợp VNPay</t>
  </si>
  <si>
    <t>Front-end chat AI</t>
  </si>
  <si>
    <t>Back-end chat AI</t>
  </si>
  <si>
    <t>Integrate code</t>
  </si>
  <si>
    <t>Tịnh,Nhung,Hoàng,Kiệt,Sang</t>
  </si>
  <si>
    <t>Testing</t>
  </si>
  <si>
    <t>Kiểm tra đăng nhập</t>
  </si>
  <si>
    <t>Kiểm tra đăng ký</t>
  </si>
  <si>
    <t>Kiểm tra tìm kiếm tour</t>
  </si>
  <si>
    <t>Kiểm tra đặt tour</t>
  </si>
  <si>
    <t>Kiểm tra thanh toán</t>
  </si>
  <si>
    <t>Kiểm tra cổng MoMo</t>
  </si>
  <si>
    <t>Kiểm tra cổng VNPay</t>
  </si>
  <si>
    <t>Kiểm tra chat AI</t>
  </si>
  <si>
    <t>Fix Bug</t>
  </si>
  <si>
    <t>Sửa lỗi đăng nhập</t>
  </si>
  <si>
    <t>Sửa lỗi đăng ký</t>
  </si>
  <si>
    <t>Sửa lỗi tìm kiếm tour</t>
  </si>
  <si>
    <t>Hoàng,Kiệt</t>
  </si>
  <si>
    <t>Sửa lỗi đặt tour</t>
  </si>
  <si>
    <t>Sửa lỗi thanh toán</t>
  </si>
  <si>
    <t>Kiệt,Sang</t>
  </si>
  <si>
    <t>Sửa lỗi chat AI</t>
  </si>
  <si>
    <t>Nhung,Hoàng</t>
  </si>
  <si>
    <t>Re-testing</t>
  </si>
  <si>
    <t>Kiểm tra lại đăng nhập</t>
  </si>
  <si>
    <t>Kiểm tra lại đăng ký</t>
  </si>
  <si>
    <t>Kiểm tra lại tìm kiếm tour</t>
  </si>
  <si>
    <t>Kiểm tra lại đặt tour</t>
  </si>
  <si>
    <t>Kiểm tra lại thanh toán</t>
  </si>
  <si>
    <t>Kiểm tra lại chat AI</t>
  </si>
  <si>
    <t>Release Sprint 1</t>
  </si>
  <si>
    <t>Sprint 1 review meeting</t>
  </si>
  <si>
    <t>Sprint 1 retrospective</t>
  </si>
  <si>
    <t>Kết thúc</t>
  </si>
  <si>
    <t>Sprint 2</t>
  </si>
  <si>
    <t>Tăng ca</t>
  </si>
  <si>
    <t>Chậm tiến độ</t>
  </si>
  <si>
    <t>SPRINT 2 REPORT</t>
  </si>
  <si>
    <t>Tạo Sprint Backlog 2</t>
  </si>
  <si>
    <t>Kiệt,Hoàng</t>
  </si>
  <si>
    <t>Giao diện thống kê</t>
  </si>
  <si>
    <t>Giao diện quản lý tour</t>
  </si>
  <si>
    <t>Giao diện thêm tour mới</t>
  </si>
  <si>
    <t>Giao diện chỉnh sửa tour</t>
  </si>
  <si>
    <t>Giao diện quản lý danh mục</t>
  </si>
  <si>
    <t>Giao diện thêm danh mục</t>
  </si>
  <si>
    <t>Giao diện quản lý người dùng</t>
  </si>
  <si>
    <t>Giao diện chỉnh sửa người dùng</t>
  </si>
  <si>
    <t>Review all user interfaces S2</t>
  </si>
  <si>
    <t>Thiết kế test case thống kê</t>
  </si>
  <si>
    <t>Thiết kế test case quản lý tour</t>
  </si>
  <si>
    <t>Thiết kế test case thêm tour mới</t>
  </si>
  <si>
    <t>Thiết kế test case chỉnh sửa tour</t>
  </si>
  <si>
    <t>Thiết kế test case quản lý danh mục</t>
  </si>
  <si>
    <t>Thiết kế test case thêm danh mục</t>
  </si>
  <si>
    <t>Thiết kế test case quản lý người dùng</t>
  </si>
  <si>
    <t>Thiết kế test case chỉnh sửa người dùng</t>
  </si>
  <si>
    <t>Review all test cases S2</t>
  </si>
  <si>
    <t>Front-end thống kê</t>
  </si>
  <si>
    <t>Back-end thống kê</t>
  </si>
  <si>
    <t>Front-end quản lý tour</t>
  </si>
  <si>
    <t>Back-end quản lý tour</t>
  </si>
  <si>
    <t>Front-end thêm tour mới</t>
  </si>
  <si>
    <t>Back-end thêm tour mới</t>
  </si>
  <si>
    <t>Front-end chỉnh sửa tour</t>
  </si>
  <si>
    <t>Back-end chỉnh sửa tour</t>
  </si>
  <si>
    <t>Front-end quản lý danh mục</t>
  </si>
  <si>
    <t>Back-end quản lý danh mục</t>
  </si>
  <si>
    <t>Front-end thêm danh mục</t>
  </si>
  <si>
    <t>Back-end thêm danh mục</t>
  </si>
  <si>
    <t>Front-end quản lý người dùng</t>
  </si>
  <si>
    <t>Back-end quản lý người dùng</t>
  </si>
  <si>
    <t>Front-end chỉnh sửa người dùng</t>
  </si>
  <si>
    <t>Back-end chỉnh sửa người dùng</t>
  </si>
  <si>
    <t>Kiểm tra thống kê</t>
  </si>
  <si>
    <t>Kiểm tra quản lý tour</t>
  </si>
  <si>
    <t>Kiểm tra thêm tour mới</t>
  </si>
  <si>
    <t>Kiểm tra chỉnh sửa tour</t>
  </si>
  <si>
    <t>Kiểm tra quản lý danh mục</t>
  </si>
  <si>
    <t>Kiểm tra thêm danh mục</t>
  </si>
  <si>
    <t>Kiểm tra quản lý người dùng</t>
  </si>
  <si>
    <t>Kiểm tra chỉnh sửa người dùng</t>
  </si>
  <si>
    <t>Sửa lỗi thống kê</t>
  </si>
  <si>
    <t>Sửa lỗi quản lý tour</t>
  </si>
  <si>
    <t>Nhung,Kiệt</t>
  </si>
  <si>
    <t>Sửa lỗi thêm tour mới</t>
  </si>
  <si>
    <t>Sửa lỗi chỉnh sửa tour</t>
  </si>
  <si>
    <t>Sửa lỗi quản lý danh mục</t>
  </si>
  <si>
    <t>Hoàng,Tịnh</t>
  </si>
  <si>
    <t>Sửa lỗi chỉnh sửa người dùng</t>
  </si>
  <si>
    <t>Sang,Tịnh</t>
  </si>
  <si>
    <t>Kiểm tra lại thống kê</t>
  </si>
  <si>
    <t>Kiểm tra lại quản lý tour</t>
  </si>
  <si>
    <t>Kiểm tra lại thêm tour mới</t>
  </si>
  <si>
    <t>Kiểm tra lại chỉnh sửa tour</t>
  </si>
  <si>
    <t>Kiểm tra lại quản lý người dùng</t>
  </si>
  <si>
    <t>Kiểm tra lại chỉnh sửa người dùng</t>
  </si>
  <si>
    <t>Release Sprint 2</t>
  </si>
  <si>
    <t>Sprint 2 review meeting</t>
  </si>
  <si>
    <t>Sprint 2 retrospective</t>
  </si>
  <si>
    <t>Sprint 3</t>
  </si>
  <si>
    <t>S</t>
  </si>
  <si>
    <t>SPRINT 3 REPORT</t>
  </si>
  <si>
    <t>Tạo Sprint Backlog 3</t>
  </si>
  <si>
    <t>Tịnh,Sang</t>
  </si>
  <si>
    <t>Giao diện quản lý tin nhắn</t>
  </si>
  <si>
    <t>Giao diện quản lý bài viết</t>
  </si>
  <si>
    <t>Giao diện thêm bài viết mới</t>
  </si>
  <si>
    <t>Giao diện Flash Sale</t>
  </si>
  <si>
    <t>Giao diện thêm Flash Sale</t>
  </si>
  <si>
    <t>Giao diện quản lý mã giảm giá</t>
  </si>
  <si>
    <t>Giao diện thêm mã giảm giá</t>
  </si>
  <si>
    <t>Review all user interfaces S3</t>
  </si>
  <si>
    <t>Thiết kế test case quản lý tin nhắn</t>
  </si>
  <si>
    <t>Thiết kế test case quản lý bài viết</t>
  </si>
  <si>
    <t>Thiết kế test case thêm bài viết mới</t>
  </si>
  <si>
    <t>Thiết kế test case Flash Sale</t>
  </si>
  <si>
    <t>Thiết kế test case thêm Flash Sale</t>
  </si>
  <si>
    <t>Thiết kế test case mã giảm giá</t>
  </si>
  <si>
    <t>Thiết kế test case thêm mã giảm giá</t>
  </si>
  <si>
    <t>Review all test cases S3</t>
  </si>
  <si>
    <t>Front-end quản lý tin nhắn</t>
  </si>
  <si>
    <t>Back-end quản lý tin nhắn</t>
  </si>
  <si>
    <t>Front-end quản lý bài viết</t>
  </si>
  <si>
    <t>Back-end quản lý bài viết</t>
  </si>
  <si>
    <t>Front-end thêm bài viết mới</t>
  </si>
  <si>
    <t>Back-end thêm bài viết mới</t>
  </si>
  <si>
    <t>Front-end Flash Sale</t>
  </si>
  <si>
    <t>Back-end Flash Sale</t>
  </si>
  <si>
    <t>Front-end thêm Flash Sale</t>
  </si>
  <si>
    <t>Back-end thêm Flash Sale</t>
  </si>
  <si>
    <t>Front-end quản lý mã giảm giá</t>
  </si>
  <si>
    <t>Back-end quản lý mã giảm giá</t>
  </si>
  <si>
    <t>Front-end thêm mã giảm giá</t>
  </si>
  <si>
    <t>Back-end thêm mã giảm giá</t>
  </si>
  <si>
    <t>Kiểm tra quản lý tin nhắn</t>
  </si>
  <si>
    <t>Kiểm tra quản lý bài viết</t>
  </si>
  <si>
    <t>Kiểm tra thêm bài viết mới</t>
  </si>
  <si>
    <t>Kiểm tra Flash Sale</t>
  </si>
  <si>
    <t>Kiểm tra thêm Flash Sale</t>
  </si>
  <si>
    <t>Kiểm tra quản lý mã giảm giá</t>
  </si>
  <si>
    <t>Kiểm tra thêm mã giảm giá</t>
  </si>
  <si>
    <t>Sửa lỗi quản lý tin nhắn</t>
  </si>
  <si>
    <t>Sửa lỗi quản lý bài viết</t>
  </si>
  <si>
    <t>Sửa lỗi Flash Sale</t>
  </si>
  <si>
    <t>Sửa lỗi thêm Flash Sale</t>
  </si>
  <si>
    <t>Sang,Hoàng</t>
  </si>
  <si>
    <t>Sửa lỗi mã giảm giá</t>
  </si>
  <si>
    <t>Hoàng,Nhung</t>
  </si>
  <si>
    <t>Sửa lỗi thêm mã giảm giá</t>
  </si>
  <si>
    <t>Kiểm tra lại tin nhắn</t>
  </si>
  <si>
    <t>Kiểm tra lại bài viết</t>
  </si>
  <si>
    <t>Kiểm tra lại Flash Sale</t>
  </si>
  <si>
    <t>Kiểm tra lại thêm Flash Sale</t>
  </si>
  <si>
    <t>Kiểm tra lại mã giảm giá</t>
  </si>
  <si>
    <t>Kiểm tra lại thêm mã giảm giá</t>
  </si>
  <si>
    <t>Release Sprint 3</t>
  </si>
  <si>
    <t>Sprint 3 review meeting</t>
  </si>
  <si>
    <t>Sprint 3 retrospective</t>
  </si>
  <si>
    <t>SPRINT BACKLOG REPORT</t>
  </si>
  <si>
    <t>FINAL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</si>
</sst>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6" x14ac:knownFonts="1">
    <font>
      <sz val="11"/>
      <color theme="1"/>
      <name val="Calibri"/>
      <family val="2"/>
      <charset val="163"/>
    </font>
    <font>
      <sz val="13"/>
      <color theme="1"/>
      <name val="Times New Roman"/>
      <family val="1"/>
      <charset val="1"/>
    </font>
    <font>
      <b/>
      <sz val="13"/>
      <color theme="1"/>
      <name val="Times New Roman"/>
      <family val="1"/>
      <charset val="1"/>
    </font>
    <font>
      <sz val="13"/>
      <name val="Times New Roman"/>
      <family val="1"/>
      <charset val="1"/>
    </font>
    <font>
      <sz val="13"/>
      <color theme="0"/>
      <name val="Times New Roman"/>
      <family val="1"/>
      <charset val="1"/>
    </font>
    <font>
      <b/>
      <sz val="13"/>
      <color theme="0"/>
      <name val="Times New Roman"/>
      <family val="1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30F035"/>
        <bgColor rgb="FF33CCCC"/>
      </patternFill>
    </fill>
    <fill>
      <patternFill patternType="solid">
        <fgColor theme="3" tint="0.79989013336588644"/>
        <bgColor rgb="FFD9D9D9"/>
      </patternFill>
    </fill>
    <fill>
      <patternFill patternType="solid">
        <fgColor theme="6"/>
        <bgColor rgb="FF8B8B8B"/>
      </patternFill>
    </fill>
    <fill>
      <patternFill patternType="solid">
        <fgColor theme="0"/>
        <bgColor rgb="FFFFFFCC"/>
      </patternFill>
    </fill>
    <fill>
      <patternFill patternType="solid">
        <fgColor rgb="FFCC00CC"/>
        <bgColor rgb="FFFF00FF"/>
      </patternFill>
    </fill>
    <fill>
      <patternFill patternType="solid">
        <fgColor rgb="FFFF66CC"/>
        <bgColor rgb="FFFF99CC"/>
      </patternFill>
    </fill>
    <fill>
      <patternFill patternType="solid">
        <fgColor theme="4" tint="0.79989013336588644"/>
        <bgColor rgb="FFD6DCE5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theme="4" tint="0.59987182226020086"/>
        <bgColor rgb="FFD6DCE5"/>
      </patternFill>
    </fill>
    <fill>
      <patternFill patternType="solid">
        <fgColor theme="7" tint="0.59987182226020086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33CCCC"/>
      </patternFill>
    </fill>
    <fill>
      <patternFill patternType="solid">
        <fgColor theme="0"/>
        <bgColor rgb="FF993300"/>
      </patternFill>
    </fill>
    <fill>
      <patternFill patternType="solid">
        <fgColor theme="0"/>
        <bgColor rgb="FFD9D9D9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0" fontId="1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1" fillId="0" borderId="1" xfId="0" applyFont="1" applyBorder="1"/>
    <xf numFmtId="0" fontId="1" fillId="3" borderId="4" xfId="0" applyFont="1" applyFill="1" applyBorder="1"/>
    <xf numFmtId="0" fontId="3" fillId="0" borderId="5" xfId="0" applyFont="1" applyBorder="1" applyAlignment="1">
      <alignment horizontal="left" vertical="center" wrapText="1"/>
    </xf>
    <xf numFmtId="0" fontId="1" fillId="4" borderId="6" xfId="0" applyFont="1" applyFill="1" applyBorder="1"/>
    <xf numFmtId="0" fontId="3" fillId="0" borderId="7" xfId="0" applyFont="1" applyBorder="1" applyAlignment="1">
      <alignment vertical="center" wrapText="1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5" borderId="1" xfId="0" applyFont="1" applyFill="1" applyBorder="1"/>
    <xf numFmtId="0" fontId="2" fillId="5" borderId="8" xfId="0" applyFont="1" applyFill="1" applyBorder="1"/>
    <xf numFmtId="0" fontId="2" fillId="5" borderId="8" xfId="0" applyFont="1" applyFill="1" applyBorder="1" applyAlignment="1">
      <alignment horizontal="center"/>
    </xf>
    <xf numFmtId="0" fontId="2" fillId="0" borderId="8" xfId="0" applyFont="1" applyBorder="1" applyAlignment="1">
      <alignment horizontal="right" textRotation="90" wrapText="1"/>
    </xf>
    <xf numFmtId="164" fontId="2" fillId="0" borderId="8" xfId="0" applyNumberFormat="1" applyFont="1" applyBorder="1" applyAlignment="1">
      <alignment horizontal="right" textRotation="90" wrapText="1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1" fillId="2" borderId="8" xfId="0" applyFont="1" applyFill="1" applyBorder="1"/>
    <xf numFmtId="0" fontId="3" fillId="3" borderId="8" xfId="0" applyFont="1" applyFill="1" applyBorder="1"/>
    <xf numFmtId="0" fontId="1" fillId="7" borderId="8" xfId="0" applyFont="1" applyFill="1" applyBorder="1"/>
    <xf numFmtId="0" fontId="1" fillId="4" borderId="8" xfId="0" applyFont="1" applyFill="1" applyBorder="1"/>
    <xf numFmtId="0" fontId="1" fillId="3" borderId="8" xfId="0" applyFont="1" applyFill="1" applyBorder="1"/>
    <xf numFmtId="0" fontId="3" fillId="0" borderId="8" xfId="0" applyFont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1" xfId="0" applyFont="1" applyBorder="1"/>
    <xf numFmtId="0" fontId="1" fillId="8" borderId="4" xfId="0" applyFont="1" applyFill="1" applyBorder="1"/>
    <xf numFmtId="14" fontId="1" fillId="0" borderId="1" xfId="0" applyNumberFormat="1" applyFont="1" applyBorder="1" applyAlignment="1">
      <alignment horizontal="left"/>
    </xf>
    <xf numFmtId="0" fontId="1" fillId="9" borderId="4" xfId="0" applyFont="1" applyFill="1" applyBorder="1"/>
    <xf numFmtId="0" fontId="2" fillId="10" borderId="1" xfId="0" applyFont="1" applyFill="1" applyBorder="1" applyAlignment="1">
      <alignment horizontal="center"/>
    </xf>
    <xf numFmtId="0" fontId="2" fillId="11" borderId="8" xfId="0" applyFont="1" applyFill="1" applyBorder="1"/>
    <xf numFmtId="0" fontId="2" fillId="11" borderId="8" xfId="0" applyFont="1" applyFill="1" applyBorder="1" applyAlignment="1">
      <alignment horizontal="center"/>
    </xf>
    <xf numFmtId="164" fontId="2" fillId="0" borderId="0" xfId="0" applyNumberFormat="1" applyFont="1" applyAlignment="1">
      <alignment horizontal="right" textRotation="90" wrapText="1"/>
    </xf>
    <xf numFmtId="164" fontId="0" fillId="0" borderId="0" xfId="0" applyNumberFormat="1"/>
    <xf numFmtId="0" fontId="0" fillId="0" borderId="8" xfId="0" applyBorder="1"/>
    <xf numFmtId="0" fontId="0" fillId="0" borderId="8" xfId="0" applyBorder="1" applyAlignment="1">
      <alignment horizontal="center"/>
    </xf>
    <xf numFmtId="0" fontId="2" fillId="11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2" fillId="12" borderId="10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/>
    </xf>
    <xf numFmtId="0" fontId="2" fillId="12" borderId="8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2" fillId="13" borderId="6" xfId="0" applyFont="1" applyFill="1" applyBorder="1" applyAlignment="1">
      <alignment horizontal="left" vertical="center"/>
    </xf>
    <xf numFmtId="0" fontId="2" fillId="13" borderId="11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/>
    </xf>
    <xf numFmtId="0" fontId="1" fillId="13" borderId="4" xfId="0" applyFont="1" applyFill="1" applyBorder="1"/>
    <xf numFmtId="0" fontId="1" fillId="0" borderId="5" xfId="0" applyFont="1" applyBorder="1"/>
    <xf numFmtId="0" fontId="1" fillId="13" borderId="6" xfId="0" applyFont="1" applyFill="1" applyBorder="1"/>
    <xf numFmtId="0" fontId="1" fillId="0" borderId="7" xfId="0" applyFont="1" applyBorder="1"/>
    <xf numFmtId="0" fontId="2" fillId="0" borderId="8" xfId="0" applyFont="1" applyBorder="1" applyAlignment="1">
      <alignment horizontal="left"/>
    </xf>
    <xf numFmtId="0" fontId="2" fillId="0" borderId="8" xfId="0" applyFont="1" applyBorder="1" applyAlignment="1">
      <alignment wrapText="1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14" fontId="3" fillId="0" borderId="8" xfId="0" applyNumberFormat="1" applyFont="1" applyBorder="1" applyAlignment="1">
      <alignment horizontal="left"/>
    </xf>
    <xf numFmtId="0" fontId="3" fillId="0" borderId="8" xfId="0" applyFont="1" applyBorder="1" applyAlignment="1">
      <alignment vertical="center" wrapText="1"/>
    </xf>
    <xf numFmtId="0" fontId="2" fillId="6" borderId="8" xfId="0" applyFont="1" applyFill="1" applyBorder="1" applyAlignment="1">
      <alignment horizontal="center"/>
    </xf>
    <xf numFmtId="0" fontId="1" fillId="14" borderId="8" xfId="0" applyFont="1" applyFill="1" applyBorder="1"/>
    <xf numFmtId="0" fontId="1" fillId="15" borderId="8" xfId="0" applyFont="1" applyFill="1" applyBorder="1"/>
    <xf numFmtId="0" fontId="4" fillId="14" borderId="8" xfId="0" applyFont="1" applyFill="1" applyBorder="1" applyAlignment="1">
      <alignment horizontal="left"/>
    </xf>
    <xf numFmtId="0" fontId="4" fillId="14" borderId="8" xfId="0" applyFont="1" applyFill="1" applyBorder="1" applyAlignment="1">
      <alignment horizontal="center"/>
    </xf>
    <xf numFmtId="0" fontId="4" fillId="14" borderId="8" xfId="0" applyFont="1" applyFill="1" applyBorder="1"/>
    <xf numFmtId="0" fontId="4" fillId="15" borderId="8" xfId="0" applyFont="1" applyFill="1" applyBorder="1"/>
    <xf numFmtId="0" fontId="4" fillId="14" borderId="8" xfId="0" applyFont="1" applyFill="1" applyBorder="1" applyAlignment="1">
      <alignment horizontal="center" vertical="center" wrapText="1"/>
    </xf>
    <xf numFmtId="0" fontId="4" fillId="16" borderId="8" xfId="0" applyFont="1" applyFill="1" applyBorder="1"/>
    <xf numFmtId="0" fontId="4" fillId="17" borderId="8" xfId="0" applyFont="1" applyFill="1" applyBorder="1"/>
    <xf numFmtId="0" fontId="5" fillId="18" borderId="8" xfId="0" applyFont="1" applyFill="1" applyBorder="1" applyAlignment="1">
      <alignment horizontal="center" vertical="center"/>
    </xf>
    <xf numFmtId="0" fontId="5" fillId="14" borderId="8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9" xfId="0" applyFont="1" applyBorder="1"/>
    <xf numFmtId="0" fontId="1" fillId="2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30F035"/>
      <rgbColor rgb="FF0000FF"/>
      <rgbColor rgb="FFFFFF00"/>
      <rgbColor rgb="FFCC00CC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B8B8B"/>
      <rgbColor rgb="FF5B9BD5"/>
      <rgbColor rgb="FF993366"/>
      <rgbColor rgb="FFFFFFCC"/>
      <rgbColor rgb="FFDEEBF7"/>
      <rgbColor rgb="FF660066"/>
      <rgbColor rgb="FFFF66CC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CE5"/>
      <rgbColor rgb="FFFFE6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ED7D31"/>
      <rgbColor rgb="FF59595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spPr>
            <a:ln w="190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2'!$I$15:$AC$15</c:f>
              <c:numCache>
                <c:formatCode>dd/mm</c:formatCode>
                <c:ptCount val="21"/>
                <c:pt idx="0">
                  <c:v>46106</c:v>
                </c:pt>
                <c:pt idx="1">
                  <c:v>46107</c:v>
                </c:pt>
                <c:pt idx="2">
                  <c:v>46108</c:v>
                </c:pt>
                <c:pt idx="3">
                  <c:v>46109</c:v>
                </c:pt>
                <c:pt idx="4">
                  <c:v>46110</c:v>
                </c:pt>
                <c:pt idx="5">
                  <c:v>46111</c:v>
                </c:pt>
                <c:pt idx="6">
                  <c:v>46112</c:v>
                </c:pt>
                <c:pt idx="7">
                  <c:v>46113</c:v>
                </c:pt>
                <c:pt idx="8">
                  <c:v>46114</c:v>
                </c:pt>
                <c:pt idx="9">
                  <c:v>46115</c:v>
                </c:pt>
                <c:pt idx="10">
                  <c:v>46116</c:v>
                </c:pt>
                <c:pt idx="11">
                  <c:v>46117</c:v>
                </c:pt>
                <c:pt idx="12">
                  <c:v>46118</c:v>
                </c:pt>
                <c:pt idx="13">
                  <c:v>46119</c:v>
                </c:pt>
                <c:pt idx="14">
                  <c:v>46120</c:v>
                </c:pt>
                <c:pt idx="15">
                  <c:v>46121</c:v>
                </c:pt>
                <c:pt idx="16">
                  <c:v>46122</c:v>
                </c:pt>
                <c:pt idx="17">
                  <c:v>46123</c:v>
                </c:pt>
                <c:pt idx="18">
                  <c:v>46124</c:v>
                </c:pt>
                <c:pt idx="19">
                  <c:v>46125</c:v>
                </c:pt>
                <c:pt idx="20">
                  <c:v>46126</c:v>
                </c:pt>
              </c:numCache>
            </c:numRef>
          </c:cat>
          <c:val>
            <c:numRef>
              <c:f>'Sprint 2'!$I$98:$AC$98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5B-4486-8304-C586006DCC05}"/>
            </c:ext>
          </c:extLst>
        </c:ser>
        <c:ser>
          <c:idx val="1"/>
          <c:order val="1"/>
          <c:tx>
            <c:v>Ước Tính</c:v>
          </c:tx>
          <c:spPr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2'!$I$15:$AC$15</c:f>
              <c:numCache>
                <c:formatCode>dd/mm</c:formatCode>
                <c:ptCount val="21"/>
                <c:pt idx="0">
                  <c:v>46106</c:v>
                </c:pt>
                <c:pt idx="1">
                  <c:v>46107</c:v>
                </c:pt>
                <c:pt idx="2">
                  <c:v>46108</c:v>
                </c:pt>
                <c:pt idx="3">
                  <c:v>46109</c:v>
                </c:pt>
                <c:pt idx="4">
                  <c:v>46110</c:v>
                </c:pt>
                <c:pt idx="5">
                  <c:v>46111</c:v>
                </c:pt>
                <c:pt idx="6">
                  <c:v>46112</c:v>
                </c:pt>
                <c:pt idx="7">
                  <c:v>46113</c:v>
                </c:pt>
                <c:pt idx="8">
                  <c:v>46114</c:v>
                </c:pt>
                <c:pt idx="9">
                  <c:v>46115</c:v>
                </c:pt>
                <c:pt idx="10">
                  <c:v>46116</c:v>
                </c:pt>
                <c:pt idx="11">
                  <c:v>46117</c:v>
                </c:pt>
                <c:pt idx="12">
                  <c:v>46118</c:v>
                </c:pt>
                <c:pt idx="13">
                  <c:v>46119</c:v>
                </c:pt>
                <c:pt idx="14">
                  <c:v>46120</c:v>
                </c:pt>
                <c:pt idx="15">
                  <c:v>46121</c:v>
                </c:pt>
                <c:pt idx="16">
                  <c:v>46122</c:v>
                </c:pt>
                <c:pt idx="17">
                  <c:v>46123</c:v>
                </c:pt>
                <c:pt idx="18">
                  <c:v>46124</c:v>
                </c:pt>
                <c:pt idx="19">
                  <c:v>46125</c:v>
                </c:pt>
                <c:pt idx="20">
                  <c:v>46126</c:v>
                </c:pt>
              </c:numCache>
            </c:numRef>
          </c:cat>
          <c:val>
            <c:numRef>
              <c:f>'Sprint 2'!$I$99:$AC$99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5B-4486-8304-C586006DC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7206452"/>
        <c:axId val="51845767"/>
      </c:lineChart>
      <c:dateAx>
        <c:axId val="57206452"/>
        <c:scaling>
          <c:orientation val="minMax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845767"/>
        <c:crosses val="autoZero"/>
        <c:auto val="1"/>
        <c:lblOffset val="100"/>
        <c:baseTimeUnit val="days"/>
      </c:dateAx>
      <c:valAx>
        <c:axId val="5184576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2064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4.5031715990998429E-2"/>
          <c:y val="4.6090151002929902E-2"/>
          <c:w val="0.83008971910967122"/>
          <c:h val="0.85799143565472169"/>
        </c:manualLayout>
      </c:layout>
      <c:lineChart>
        <c:grouping val="standard"/>
        <c:varyColors val="0"/>
        <c:ser>
          <c:idx val="0"/>
          <c:order val="0"/>
          <c:tx>
            <c:v>Thực tế</c:v>
          </c:tx>
          <c:spPr>
            <a:ln w="190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3'!$I$15:$AB$15</c:f>
              <c:numCache>
                <c:formatCode>dd/mm</c:formatCode>
                <c:ptCount val="20"/>
                <c:pt idx="0">
                  <c:v>46127</c:v>
                </c:pt>
                <c:pt idx="1">
                  <c:v>46128</c:v>
                </c:pt>
                <c:pt idx="2">
                  <c:v>46129</c:v>
                </c:pt>
                <c:pt idx="3">
                  <c:v>46130</c:v>
                </c:pt>
                <c:pt idx="4">
                  <c:v>46131</c:v>
                </c:pt>
                <c:pt idx="5">
                  <c:v>46132</c:v>
                </c:pt>
                <c:pt idx="6">
                  <c:v>46133</c:v>
                </c:pt>
                <c:pt idx="7">
                  <c:v>46134</c:v>
                </c:pt>
                <c:pt idx="8">
                  <c:v>46135</c:v>
                </c:pt>
                <c:pt idx="9">
                  <c:v>46136</c:v>
                </c:pt>
                <c:pt idx="10">
                  <c:v>46137</c:v>
                </c:pt>
                <c:pt idx="11">
                  <c:v>46138</c:v>
                </c:pt>
                <c:pt idx="12">
                  <c:v>46139</c:v>
                </c:pt>
                <c:pt idx="13">
                  <c:v>46140</c:v>
                </c:pt>
                <c:pt idx="14">
                  <c:v>46141</c:v>
                </c:pt>
                <c:pt idx="15">
                  <c:v>46142</c:v>
                </c:pt>
                <c:pt idx="16">
                  <c:v>46143</c:v>
                </c:pt>
                <c:pt idx="17">
                  <c:v>46144</c:v>
                </c:pt>
                <c:pt idx="18">
                  <c:v>46145</c:v>
                </c:pt>
                <c:pt idx="19">
                  <c:v>46146</c:v>
                </c:pt>
              </c:numCache>
            </c:numRef>
          </c:cat>
          <c:val>
            <c:numRef>
              <c:f>'Sprint 3'!$I$108:$AB$108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19-4384-B3CF-375FB5A04AE9}"/>
            </c:ext>
          </c:extLst>
        </c:ser>
        <c:ser>
          <c:idx val="1"/>
          <c:order val="1"/>
          <c:tx>
            <c:v>Ước tính</c:v>
          </c:tx>
          <c:spPr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3'!$I$15:$AB$15</c:f>
              <c:numCache>
                <c:formatCode>dd/mm</c:formatCode>
                <c:ptCount val="20"/>
                <c:pt idx="0">
                  <c:v>46127</c:v>
                </c:pt>
                <c:pt idx="1">
                  <c:v>46128</c:v>
                </c:pt>
                <c:pt idx="2">
                  <c:v>46129</c:v>
                </c:pt>
                <c:pt idx="3">
                  <c:v>46130</c:v>
                </c:pt>
                <c:pt idx="4">
                  <c:v>46131</c:v>
                </c:pt>
                <c:pt idx="5">
                  <c:v>46132</c:v>
                </c:pt>
                <c:pt idx="6">
                  <c:v>46133</c:v>
                </c:pt>
                <c:pt idx="7">
                  <c:v>46134</c:v>
                </c:pt>
                <c:pt idx="8">
                  <c:v>46135</c:v>
                </c:pt>
                <c:pt idx="9">
                  <c:v>46136</c:v>
                </c:pt>
                <c:pt idx="10">
                  <c:v>46137</c:v>
                </c:pt>
                <c:pt idx="11">
                  <c:v>46138</c:v>
                </c:pt>
                <c:pt idx="12">
                  <c:v>46139</c:v>
                </c:pt>
                <c:pt idx="13">
                  <c:v>46140</c:v>
                </c:pt>
                <c:pt idx="14">
                  <c:v>46141</c:v>
                </c:pt>
                <c:pt idx="15">
                  <c:v>46142</c:v>
                </c:pt>
                <c:pt idx="16">
                  <c:v>46143</c:v>
                </c:pt>
                <c:pt idx="17">
                  <c:v>46144</c:v>
                </c:pt>
                <c:pt idx="18">
                  <c:v>46145</c:v>
                </c:pt>
                <c:pt idx="19">
                  <c:v>46146</c:v>
                </c:pt>
              </c:numCache>
            </c:numRef>
          </c:cat>
          <c:val>
            <c:numRef>
              <c:f>'Sprint 3'!$I$109:$AB$109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19-4384-B3CF-375FB5A04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4033702"/>
        <c:axId val="5592255"/>
      </c:lineChart>
      <c:dateAx>
        <c:axId val="24033702"/>
        <c:scaling>
          <c:orientation val="minMax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92255"/>
        <c:crosses val="autoZero"/>
        <c:auto val="1"/>
        <c:lblOffset val="100"/>
        <c:baseTimeUnit val="days"/>
      </c:dateAx>
      <c:valAx>
        <c:axId val="559225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0337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26276</xdr:colOff>
      <xdr:row>78</xdr:row>
      <xdr:rowOff>26277</xdr:rowOff>
    </xdr:from>
    <xdr:to>
      <xdr:col>27</xdr:col>
      <xdr:colOff>131293</xdr:colOff>
      <xdr:row>97</xdr:row>
      <xdr:rowOff>204878</xdr:rowOff>
    </xdr:to>
    <xdr:pic>
      <xdr:nvPicPr>
        <xdr:cNvPr id="5" name="Hình ảnh 4">
          <a:extLst>
            <a:ext uri="{FF2B5EF4-FFF2-40B4-BE49-F238E27FC236}">
              <a16:creationId xmlns:a16="http://schemas.microsoft.com/office/drawing/2014/main" id="{57BC80A4-D736-1724-13CA-CF6341591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22724" y="17420898"/>
          <a:ext cx="8802328" cy="41725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369000</xdr:colOff>
      <xdr:row>102</xdr:row>
      <xdr:rowOff>9720</xdr:rowOff>
    </xdr:from>
    <xdr:to>
      <xdr:col>12</xdr:col>
      <xdr:colOff>245520</xdr:colOff>
      <xdr:row>123</xdr:row>
      <xdr:rowOff>109080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54429</xdr:colOff>
      <xdr:row>104</xdr:row>
      <xdr:rowOff>54429</xdr:rowOff>
    </xdr:from>
    <xdr:to>
      <xdr:col>32</xdr:col>
      <xdr:colOff>108856</xdr:colOff>
      <xdr:row>123</xdr:row>
      <xdr:rowOff>135084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B8728E53-B9F6-73FD-FECC-5CBC0A768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07686" y="22206858"/>
          <a:ext cx="8077199" cy="35967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1266120</xdr:colOff>
      <xdr:row>109</xdr:row>
      <xdr:rowOff>168120</xdr:rowOff>
    </xdr:from>
    <xdr:to>
      <xdr:col>12</xdr:col>
      <xdr:colOff>149974</xdr:colOff>
      <xdr:row>130</xdr:row>
      <xdr:rowOff>33120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1055914</xdr:colOff>
      <xdr:row>91</xdr:row>
      <xdr:rowOff>163286</xdr:rowOff>
    </xdr:from>
    <xdr:to>
      <xdr:col>12</xdr:col>
      <xdr:colOff>361805</xdr:colOff>
      <xdr:row>109</xdr:row>
      <xdr:rowOff>93066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D70ACECB-F762-6E65-C9D8-49AA80BCC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01143" y="20584886"/>
          <a:ext cx="8716591" cy="38486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601980</xdr:colOff>
      <xdr:row>9</xdr:row>
      <xdr:rowOff>144780</xdr:rowOff>
    </xdr:from>
    <xdr:to>
      <xdr:col>20</xdr:col>
      <xdr:colOff>502226</xdr:colOff>
      <xdr:row>31</xdr:row>
      <xdr:rowOff>160594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9C87DD4F-6F4F-5AFB-337B-2DFF4C7F6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5340" y="1965960"/>
          <a:ext cx="8678486" cy="4115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3"/>
  <sheetViews>
    <sheetView topLeftCell="A52" zoomScale="58" zoomScaleNormal="58" workbookViewId="0">
      <selection activeCell="AJ100" sqref="AJ100"/>
    </sheetView>
  </sheetViews>
  <sheetFormatPr defaultColWidth="9.140625" defaultRowHeight="16.5" x14ac:dyDescent="0.25"/>
  <cols>
    <col min="1" max="1" width="16" style="21" customWidth="1"/>
    <col min="2" max="2" width="20.28515625" style="21" customWidth="1"/>
    <col min="3" max="3" width="60.28515625" style="21" bestFit="1" customWidth="1"/>
    <col min="4" max="4" width="11" style="21" customWidth="1"/>
    <col min="5" max="5" width="32.42578125" style="21" bestFit="1" customWidth="1"/>
    <col min="6" max="6" width="20.5703125" style="21" customWidth="1"/>
    <col min="7" max="8" width="6.140625" style="21" customWidth="1"/>
    <col min="9" max="9" width="6" style="21" customWidth="1"/>
    <col min="10" max="13" width="6.140625" style="21" customWidth="1"/>
    <col min="14" max="14" width="6" style="21" customWidth="1"/>
    <col min="15" max="15" width="6.140625" style="21" customWidth="1"/>
    <col min="16" max="20" width="6" style="21" customWidth="1"/>
    <col min="21" max="23" width="6.140625" style="21" customWidth="1"/>
    <col min="24" max="24" width="6" style="21" customWidth="1"/>
    <col min="25" max="25" width="6.140625" style="21" customWidth="1"/>
    <col min="26" max="26" width="6" style="21" customWidth="1"/>
    <col min="27" max="27" width="5.85546875" style="21" customWidth="1"/>
    <col min="28" max="28" width="6.140625" style="21" customWidth="1"/>
    <col min="29" max="31" width="6" style="21" customWidth="1"/>
    <col min="32" max="16384" width="9.140625" style="21"/>
  </cols>
  <sheetData>
    <row r="1" spans="1:32" ht="33.75" customHeight="1" x14ac:dyDescent="0.25">
      <c r="A1" s="57" t="s">
        <v>0</v>
      </c>
      <c r="C1" s="58" t="s">
        <v>1</v>
      </c>
      <c r="E1" s="22"/>
      <c r="F1" s="59" t="s">
        <v>2</v>
      </c>
    </row>
    <row r="2" spans="1:32" ht="17.25" customHeight="1" x14ac:dyDescent="0.25">
      <c r="A2" s="57" t="s">
        <v>3</v>
      </c>
      <c r="C2" s="21" t="s">
        <v>4</v>
      </c>
      <c r="E2" s="26"/>
      <c r="F2" s="60" t="s">
        <v>5</v>
      </c>
    </row>
    <row r="3" spans="1:32" ht="17.25" customHeight="1" x14ac:dyDescent="0.25">
      <c r="A3" s="57" t="s">
        <v>6</v>
      </c>
      <c r="C3" s="61">
        <v>46083</v>
      </c>
      <c r="E3" s="25"/>
      <c r="F3" s="62" t="s">
        <v>7</v>
      </c>
    </row>
    <row r="4" spans="1:32" ht="17.25" customHeight="1" x14ac:dyDescent="0.25">
      <c r="A4" s="57" t="s">
        <v>8</v>
      </c>
      <c r="C4" s="61">
        <v>46105</v>
      </c>
    </row>
    <row r="5" spans="1:32" ht="16.5" customHeight="1" x14ac:dyDescent="0.25"/>
    <row r="6" spans="1:32" ht="17.25" customHeight="1" x14ac:dyDescent="0.25">
      <c r="B6" s="15" t="s">
        <v>9</v>
      </c>
    </row>
    <row r="7" spans="1:32" ht="17.25" customHeight="1" x14ac:dyDescent="0.25">
      <c r="B7" s="63" t="s">
        <v>10</v>
      </c>
      <c r="C7" s="63" t="s">
        <v>11</v>
      </c>
      <c r="D7" s="63" t="s">
        <v>12</v>
      </c>
      <c r="E7" s="63" t="s">
        <v>13</v>
      </c>
    </row>
    <row r="8" spans="1:32" ht="17.25" customHeight="1" x14ac:dyDescent="0.25">
      <c r="B8" s="20">
        <v>1</v>
      </c>
      <c r="C8" s="21" t="s">
        <v>14</v>
      </c>
      <c r="D8" s="21">
        <f ca="1">SUMIF($E$16:$F$73,"Tịnh",$H$16:$H$73)+SUMIF($E$16:$F$73,"All team",$H$16:$H$73)/5+SUMIF($E$16:$F$73,"Tịnh,Nhung",$H$16:$H$73)/2+SUMIF($E$16:$F$73,"Tịnh,Nhung,Hoàng,Kiệt,Sang",$H$16:$H$73)/5</f>
        <v>29.700000000000003</v>
      </c>
      <c r="E8" s="21">
        <f ca="1">SUMIF($E$16:$F$73,"Tịnh",$H$16:$H$73)+SUMIF($E$16:$F$73,"All team",$H$16:$H$73)/5+SUMIF($E$16:$F$73,"Tịnh,Nhung",$H$16:$H$73)/2+SUMIF($E$16:$F$73,"Tịnh,Nhung,Hoàng,Kiệt,Sang",$H$16:$H$73)/5</f>
        <v>29.700000000000003</v>
      </c>
    </row>
    <row r="9" spans="1:32" ht="17.25" customHeight="1" x14ac:dyDescent="0.25">
      <c r="B9" s="20">
        <v>2</v>
      </c>
      <c r="C9" s="21" t="s">
        <v>15</v>
      </c>
      <c r="D9" s="21">
        <f ca="1">SUMIF($E$16:$F$73,"Nhung",$H$16:$H$73)+SUMIF($E$16:$F$73,"All team",$H$16:$H$73)/5+SUMIF($E$16:$F$73,"Tịnh,Nhung",$H$16:$H$73)/2+SUMIF($E$16:$F$73,"Nhung,Hoàng",$H$16:$H$73)/2+SUMIF($E$16:$F$73,"Tịnh,Nhung,Hoàng,Kiệt,Sang",$H$16:$H$73)/5</f>
        <v>35.700000000000003</v>
      </c>
      <c r="E9" s="21">
        <f ca="1">SUMIF($E$16:$F$73,"Nhung",$H$16:$H$73)+SUMIF($E$16:$F$73,"All team",$H$16:$H$73)/5+SUMIF($E$16:$F$73,"Tịnh,Nhung",$H$16:$H$73)/2+SUMIF($E$16:$F$73,"Nhung,Hoàng",$H$16:$H$73)/2+SUMIF($E$16:$F$73,"Tịnh,Nhung,Hoàng,Kiệt,Sang",$H$16:$H$73)/5</f>
        <v>35.700000000000003</v>
      </c>
    </row>
    <row r="10" spans="1:32" ht="17.25" customHeight="1" x14ac:dyDescent="0.25">
      <c r="B10" s="20">
        <v>3</v>
      </c>
      <c r="C10" s="21" t="s">
        <v>16</v>
      </c>
      <c r="D10" s="21">
        <f ca="1">SUMIF($E$16:$F$73,"Hoàng",$H$16:$H$73)+SUMIF($E$16:$F$73,"All team",$H$16:$H$73)/5+SUMIF($E$16:$F$73,"Hoàng,Kiệt",$H$16:$H$73)/2+SUMIF($E$16:$F$73,"Nhung,Hoàng",$H$16:$H$73)/2+SUMIF($E$16:$F$73,"Tịnh,Nhung,Hoàng,Kiệt,Sang",$H$16:$H$73)/5</f>
        <v>27.700000000000003</v>
      </c>
      <c r="E10" s="21">
        <f ca="1">SUMIF($E$16:$F$73,"Hoàng",$H$16:$H$73)+SUMIF($E$16:$F$73,"All team",$H$16:$H$73)/5+SUMIF($E$16:$F$73,"Hoàng,Kiệt",$H$16:$H$73)/2+SUMIF($E$16:$F$73,"Nhung,Hoàng",$H$16:$H$73)/2+SUMIF($E$16:$F$73,"Tịnh,Nhung,Hoàng,Kiệt,Sang",$H$16:$H$73)/5</f>
        <v>27.700000000000003</v>
      </c>
    </row>
    <row r="11" spans="1:32" ht="17.25" customHeight="1" x14ac:dyDescent="0.25">
      <c r="B11" s="20">
        <v>4</v>
      </c>
      <c r="C11" s="21" t="s">
        <v>17</v>
      </c>
      <c r="D11" s="21">
        <f ca="1">SUMIF($E$16:$F$73,"Kiệt",$H$16:$H$73)+SUMIF($E$16:$F$73,"All team",$H$16:$H$73)/5+SUMIF($E$16:$F$73,"Kiệt,Sang",$H$16:$H$73)/2+SUMIF($E$16:$F$73,"Hoàng,Kiệt",$H$16:$H$73)/2+SUMIF($E$16:$F$73,"Tịnh,Nhung,Hoàng,Kiệt,Sang",$H$16:$H$73)/5</f>
        <v>27.200000000000003</v>
      </c>
      <c r="E11" s="21">
        <f ca="1">SUMIF($E$16:$F$73,"Kiệt",$H$16:$H$73)+SUMIF($E$16:$F$73,"All team",$H$16:$H$73)/5+SUMIF($E$16:$F$73,"Kiệt,Sang",$H$16:$H$73)/2+SUMIF($E$16:$F$73,"Hoàng,Kiệt",$H$16:$H$73)/2+SUMIF($E$16:$F$73,"Tịnh,Nhung,Hoàng,Kiệt,Sang",$H$16:$H$73)/5</f>
        <v>27.200000000000003</v>
      </c>
    </row>
    <row r="12" spans="1:32" ht="17.25" customHeight="1" x14ac:dyDescent="0.25">
      <c r="B12" s="20">
        <v>5</v>
      </c>
      <c r="C12" s="21" t="s">
        <v>18</v>
      </c>
      <c r="D12" s="21">
        <f ca="1">SUMIF($E$16:$F$73,"Sang",$H$16:$H$73)+SUMIF($E$16:$F$73,"All team",$H$16:$H$73)/5+SUMIF($E$16:$F$73,"Kiệt,Sang",$H$16:$H$73)/2+SUMIF($E$16:$F$73,"Tịnh,Nhung,Hoàng,Kiệt,Sang",$H$16:$H$73)/5</f>
        <v>16.7</v>
      </c>
      <c r="E12" s="21">
        <f ca="1">SUMIF($E$16:$F$73,"Sang",$H$16:$H$73)+SUMIF($E$16:$F$73,"All team",$H$16:$H$73)/5+SUMIF($E$16:$F$73,"Kiệt,Sang",$H$16:$H$73)/2+SUMIF($E$16:$F$73,"Tịnh,Nhung,Hoàng,Kiệt,Sang",$H$16:$H$73)/5</f>
        <v>16.7</v>
      </c>
    </row>
    <row r="13" spans="1:32" ht="17.25" customHeight="1" x14ac:dyDescent="0.25">
      <c r="B13" s="15" t="s">
        <v>19</v>
      </c>
      <c r="D13" s="14">
        <f ca="1">SUM(D8:D12)</f>
        <v>137</v>
      </c>
      <c r="E13" s="14">
        <f ca="1">SUM(E8:E12)</f>
        <v>137</v>
      </c>
    </row>
    <row r="15" spans="1:32" ht="62.25" customHeight="1" x14ac:dyDescent="0.25">
      <c r="A15" s="14" t="s">
        <v>20</v>
      </c>
      <c r="B15" s="14" t="s">
        <v>21</v>
      </c>
      <c r="C15" s="15" t="s">
        <v>22</v>
      </c>
      <c r="E15" s="15" t="s">
        <v>23</v>
      </c>
      <c r="G15" s="16" t="s">
        <v>12</v>
      </c>
      <c r="H15" s="16" t="s">
        <v>13</v>
      </c>
      <c r="I15" s="17">
        <v>46083</v>
      </c>
      <c r="J15" s="17">
        <v>46084</v>
      </c>
      <c r="K15" s="17">
        <v>46085</v>
      </c>
      <c r="L15" s="17">
        <v>46086</v>
      </c>
      <c r="M15" s="17">
        <v>46087</v>
      </c>
      <c r="N15" s="17">
        <v>46088</v>
      </c>
      <c r="O15" s="17">
        <v>46089</v>
      </c>
      <c r="P15" s="17">
        <v>46090</v>
      </c>
      <c r="Q15" s="17">
        <v>46091</v>
      </c>
      <c r="R15" s="17">
        <v>46092</v>
      </c>
      <c r="S15" s="17">
        <v>46093</v>
      </c>
      <c r="T15" s="17">
        <v>46094</v>
      </c>
      <c r="U15" s="17">
        <v>46095</v>
      </c>
      <c r="V15" s="17">
        <v>46096</v>
      </c>
      <c r="W15" s="17">
        <v>46097</v>
      </c>
      <c r="X15" s="17">
        <v>46098</v>
      </c>
      <c r="Y15" s="17">
        <v>46099</v>
      </c>
      <c r="Z15" s="17">
        <v>46100</v>
      </c>
      <c r="AA15" s="17">
        <v>46101</v>
      </c>
      <c r="AB15" s="17">
        <v>46102</v>
      </c>
      <c r="AC15" s="17">
        <v>46103</v>
      </c>
      <c r="AD15" s="17">
        <v>46104</v>
      </c>
      <c r="AE15" s="17">
        <v>46105</v>
      </c>
      <c r="AF15" s="17">
        <v>46106</v>
      </c>
    </row>
    <row r="16" spans="1:32" x14ac:dyDescent="0.25">
      <c r="A16" s="18" t="s">
        <v>4</v>
      </c>
      <c r="B16" s="19" t="s">
        <v>24</v>
      </c>
      <c r="E16" s="20" t="s">
        <v>25</v>
      </c>
      <c r="G16" s="21">
        <v>10</v>
      </c>
      <c r="H16" s="21">
        <v>10</v>
      </c>
      <c r="I16" s="22">
        <v>10</v>
      </c>
      <c r="J16" s="21">
        <v>5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</row>
    <row r="17" spans="2:32" x14ac:dyDescent="0.25">
      <c r="B17" s="19" t="s">
        <v>26</v>
      </c>
      <c r="E17" s="20" t="s">
        <v>17</v>
      </c>
      <c r="G17" s="21">
        <v>4</v>
      </c>
      <c r="H17" s="21">
        <v>4</v>
      </c>
      <c r="I17" s="21">
        <v>4</v>
      </c>
      <c r="J17" s="22">
        <v>4</v>
      </c>
      <c r="K17" s="21">
        <v>4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</row>
    <row r="18" spans="2:32" x14ac:dyDescent="0.25">
      <c r="B18" s="19" t="s">
        <v>27</v>
      </c>
      <c r="E18" s="20" t="s">
        <v>28</v>
      </c>
      <c r="G18" s="21">
        <v>4</v>
      </c>
      <c r="H18" s="21">
        <v>4</v>
      </c>
      <c r="I18" s="21">
        <v>4</v>
      </c>
      <c r="J18" s="21">
        <v>4</v>
      </c>
      <c r="K18" s="22">
        <v>4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</row>
    <row r="19" spans="2:32" ht="33" x14ac:dyDescent="0.25">
      <c r="B19" s="18" t="s">
        <v>29</v>
      </c>
      <c r="C19" s="19" t="s">
        <v>30</v>
      </c>
      <c r="E19" s="20" t="s">
        <v>15</v>
      </c>
      <c r="G19" s="21">
        <v>1</v>
      </c>
      <c r="H19" s="21">
        <v>1</v>
      </c>
      <c r="I19" s="21">
        <v>1</v>
      </c>
      <c r="J19" s="21">
        <v>1</v>
      </c>
      <c r="K19" s="21">
        <v>1</v>
      </c>
      <c r="L19" s="22">
        <v>1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</row>
    <row r="20" spans="2:32" x14ac:dyDescent="0.25">
      <c r="C20" s="19" t="s">
        <v>31</v>
      </c>
      <c r="E20" s="20" t="s">
        <v>15</v>
      </c>
      <c r="G20" s="21">
        <v>1</v>
      </c>
      <c r="H20" s="21">
        <v>1</v>
      </c>
      <c r="I20" s="21">
        <v>1</v>
      </c>
      <c r="J20" s="21">
        <v>1</v>
      </c>
      <c r="K20" s="21">
        <v>1</v>
      </c>
      <c r="L20" s="22">
        <v>1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</row>
    <row r="21" spans="2:32" x14ac:dyDescent="0.25">
      <c r="C21" s="19" t="s">
        <v>32</v>
      </c>
      <c r="E21" s="20" t="s">
        <v>16</v>
      </c>
      <c r="G21" s="21">
        <v>1</v>
      </c>
      <c r="H21" s="21">
        <v>1</v>
      </c>
      <c r="I21" s="21">
        <v>1</v>
      </c>
      <c r="J21" s="21">
        <v>1</v>
      </c>
      <c r="K21" s="21">
        <v>1</v>
      </c>
      <c r="L21" s="22">
        <v>1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</row>
    <row r="22" spans="2:32" x14ac:dyDescent="0.25">
      <c r="C22" s="20" t="s">
        <v>33</v>
      </c>
      <c r="E22" s="20" t="s">
        <v>14</v>
      </c>
      <c r="G22" s="21">
        <v>1</v>
      </c>
      <c r="H22" s="21">
        <v>1</v>
      </c>
      <c r="I22" s="21">
        <v>1</v>
      </c>
      <c r="J22" s="21">
        <v>1</v>
      </c>
      <c r="K22" s="21">
        <v>1</v>
      </c>
      <c r="L22" s="23">
        <v>1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</row>
    <row r="23" spans="2:32" x14ac:dyDescent="0.25">
      <c r="C23" s="19" t="s">
        <v>34</v>
      </c>
      <c r="E23" s="20" t="s">
        <v>17</v>
      </c>
      <c r="G23" s="21">
        <v>2</v>
      </c>
      <c r="H23" s="21">
        <v>2</v>
      </c>
      <c r="I23" s="21">
        <v>2</v>
      </c>
      <c r="J23" s="21">
        <v>2</v>
      </c>
      <c r="K23" s="21">
        <v>2</v>
      </c>
      <c r="L23" s="22">
        <v>2</v>
      </c>
      <c r="M23" s="21">
        <v>2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</row>
    <row r="24" spans="2:32" x14ac:dyDescent="0.25">
      <c r="C24" s="19" t="s">
        <v>35</v>
      </c>
      <c r="E24" s="20" t="s">
        <v>18</v>
      </c>
      <c r="G24" s="21">
        <v>1</v>
      </c>
      <c r="H24" s="21">
        <v>1</v>
      </c>
      <c r="I24" s="21">
        <v>1</v>
      </c>
      <c r="J24" s="21">
        <v>1</v>
      </c>
      <c r="K24" s="21">
        <v>1</v>
      </c>
      <c r="L24" s="21">
        <v>1</v>
      </c>
      <c r="M24" s="22">
        <v>1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</row>
    <row r="25" spans="2:32" x14ac:dyDescent="0.25">
      <c r="C25" s="19" t="s">
        <v>36</v>
      </c>
      <c r="E25" s="20" t="s">
        <v>16</v>
      </c>
      <c r="G25" s="21">
        <v>1</v>
      </c>
      <c r="H25" s="21">
        <v>1</v>
      </c>
      <c r="I25" s="21">
        <v>1</v>
      </c>
      <c r="J25" s="21">
        <v>1</v>
      </c>
      <c r="K25" s="21">
        <v>1</v>
      </c>
      <c r="L25" s="21">
        <v>1</v>
      </c>
      <c r="M25" s="22">
        <v>1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</row>
    <row r="26" spans="2:32" x14ac:dyDescent="0.25">
      <c r="C26" s="19" t="s">
        <v>37</v>
      </c>
      <c r="E26" s="20" t="s">
        <v>15</v>
      </c>
      <c r="G26" s="21">
        <v>1</v>
      </c>
      <c r="H26" s="21">
        <v>1</v>
      </c>
      <c r="I26" s="21">
        <v>1</v>
      </c>
      <c r="J26" s="21">
        <v>1</v>
      </c>
      <c r="K26" s="21">
        <v>1</v>
      </c>
      <c r="L26" s="21">
        <v>1</v>
      </c>
      <c r="M26" s="24">
        <v>1</v>
      </c>
      <c r="N26" s="22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</row>
    <row r="27" spans="2:32" x14ac:dyDescent="0.25">
      <c r="C27" s="19" t="s">
        <v>38</v>
      </c>
      <c r="E27" s="20" t="s">
        <v>25</v>
      </c>
      <c r="G27" s="21">
        <v>10</v>
      </c>
      <c r="H27" s="21">
        <v>10</v>
      </c>
      <c r="I27" s="21">
        <v>10</v>
      </c>
      <c r="J27" s="21">
        <v>10</v>
      </c>
      <c r="K27" s="21">
        <v>10</v>
      </c>
      <c r="L27" s="21">
        <v>10</v>
      </c>
      <c r="M27" s="24">
        <v>10</v>
      </c>
      <c r="N27" s="22">
        <v>5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</row>
    <row r="28" spans="2:32" x14ac:dyDescent="0.25">
      <c r="B28" s="21" t="s">
        <v>39</v>
      </c>
      <c r="C28" s="19" t="s">
        <v>40</v>
      </c>
      <c r="E28" s="20" t="s">
        <v>14</v>
      </c>
      <c r="G28" s="21">
        <v>1</v>
      </c>
      <c r="H28" s="21">
        <v>1</v>
      </c>
      <c r="I28" s="21">
        <v>1</v>
      </c>
      <c r="J28" s="21">
        <v>1</v>
      </c>
      <c r="K28" s="21">
        <v>1</v>
      </c>
      <c r="L28" s="21">
        <v>1</v>
      </c>
      <c r="M28" s="21">
        <v>1</v>
      </c>
      <c r="N28" s="21">
        <v>1</v>
      </c>
      <c r="O28" s="21">
        <v>1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</row>
    <row r="29" spans="2:32" x14ac:dyDescent="0.25">
      <c r="C29" s="19" t="s">
        <v>41</v>
      </c>
      <c r="E29" s="20" t="s">
        <v>15</v>
      </c>
      <c r="G29" s="21">
        <v>2</v>
      </c>
      <c r="H29" s="21">
        <v>2</v>
      </c>
      <c r="I29" s="21">
        <v>2</v>
      </c>
      <c r="J29" s="21">
        <v>2</v>
      </c>
      <c r="K29" s="21">
        <v>2</v>
      </c>
      <c r="L29" s="21">
        <v>2</v>
      </c>
      <c r="M29" s="21">
        <v>2</v>
      </c>
      <c r="N29" s="21">
        <v>2</v>
      </c>
      <c r="O29" s="25">
        <v>2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</row>
    <row r="30" spans="2:32" x14ac:dyDescent="0.25">
      <c r="B30" s="18"/>
      <c r="C30" s="19" t="s">
        <v>42</v>
      </c>
      <c r="E30" s="20" t="s">
        <v>16</v>
      </c>
      <c r="G30" s="21">
        <v>1</v>
      </c>
      <c r="H30" s="21">
        <v>1</v>
      </c>
      <c r="I30" s="21">
        <v>1</v>
      </c>
      <c r="J30" s="21">
        <v>1</v>
      </c>
      <c r="K30" s="21">
        <v>1</v>
      </c>
      <c r="L30" s="21">
        <v>1</v>
      </c>
      <c r="M30" s="21">
        <v>1</v>
      </c>
      <c r="N30" s="21">
        <v>1</v>
      </c>
      <c r="O30" s="21">
        <v>1</v>
      </c>
      <c r="P30" s="22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</row>
    <row r="31" spans="2:32" x14ac:dyDescent="0.25">
      <c r="C31" s="19" t="s">
        <v>43</v>
      </c>
      <c r="E31" s="20" t="s">
        <v>14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2">
        <v>1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</row>
    <row r="32" spans="2:32" x14ac:dyDescent="0.25">
      <c r="C32" s="19" t="s">
        <v>44</v>
      </c>
      <c r="E32" s="20" t="s">
        <v>17</v>
      </c>
      <c r="G32" s="21">
        <v>1</v>
      </c>
      <c r="H32" s="21">
        <v>1</v>
      </c>
      <c r="I32" s="21">
        <v>1</v>
      </c>
      <c r="J32" s="21">
        <v>1</v>
      </c>
      <c r="K32" s="21">
        <v>1</v>
      </c>
      <c r="L32" s="21">
        <v>1</v>
      </c>
      <c r="M32" s="21">
        <v>1</v>
      </c>
      <c r="N32" s="21">
        <v>1</v>
      </c>
      <c r="O32" s="21">
        <v>1</v>
      </c>
      <c r="P32" s="22">
        <v>1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</row>
    <row r="33" spans="2:32" x14ac:dyDescent="0.25">
      <c r="C33" s="19" t="s">
        <v>45</v>
      </c>
      <c r="E33" s="20" t="s">
        <v>18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2">
        <v>1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</row>
    <row r="34" spans="2:32" x14ac:dyDescent="0.25">
      <c r="C34" s="19" t="s">
        <v>46</v>
      </c>
      <c r="E34" s="20" t="s">
        <v>16</v>
      </c>
      <c r="G34" s="21">
        <v>1</v>
      </c>
      <c r="H34" s="21">
        <v>1</v>
      </c>
      <c r="I34" s="21">
        <v>1</v>
      </c>
      <c r="J34" s="21">
        <v>1</v>
      </c>
      <c r="K34" s="21">
        <v>1</v>
      </c>
      <c r="L34" s="21">
        <v>1</v>
      </c>
      <c r="M34" s="21">
        <v>1</v>
      </c>
      <c r="N34" s="21">
        <v>1</v>
      </c>
      <c r="O34" s="21">
        <v>1</v>
      </c>
      <c r="P34" s="22">
        <v>1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</row>
    <row r="35" spans="2:32" x14ac:dyDescent="0.25">
      <c r="C35" s="19" t="s">
        <v>47</v>
      </c>
      <c r="E35" s="20" t="s">
        <v>15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2">
        <v>1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</row>
    <row r="36" spans="2:32" x14ac:dyDescent="0.25">
      <c r="C36" s="19" t="s">
        <v>48</v>
      </c>
      <c r="E36" s="20" t="s">
        <v>25</v>
      </c>
      <c r="G36" s="21">
        <v>8</v>
      </c>
      <c r="H36" s="21">
        <v>8</v>
      </c>
      <c r="I36" s="21">
        <v>8</v>
      </c>
      <c r="J36" s="21">
        <v>8</v>
      </c>
      <c r="K36" s="21">
        <v>8</v>
      </c>
      <c r="L36" s="21">
        <v>8</v>
      </c>
      <c r="M36" s="21">
        <v>8</v>
      </c>
      <c r="N36" s="21">
        <v>8</v>
      </c>
      <c r="O36" s="21">
        <v>8</v>
      </c>
      <c r="P36" s="24">
        <v>8</v>
      </c>
      <c r="Q36" s="22">
        <v>4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</row>
    <row r="37" spans="2:32" x14ac:dyDescent="0.25">
      <c r="B37" s="21" t="s">
        <v>49</v>
      </c>
      <c r="C37" s="19" t="s">
        <v>50</v>
      </c>
      <c r="E37" s="20" t="s">
        <v>14</v>
      </c>
      <c r="G37" s="21">
        <v>2</v>
      </c>
      <c r="H37" s="21">
        <v>2</v>
      </c>
      <c r="I37" s="21">
        <v>2</v>
      </c>
      <c r="J37" s="21">
        <v>2</v>
      </c>
      <c r="K37" s="21">
        <v>2</v>
      </c>
      <c r="L37" s="21">
        <v>2</v>
      </c>
      <c r="M37" s="21">
        <v>2</v>
      </c>
      <c r="N37" s="21">
        <v>2</v>
      </c>
      <c r="O37" s="21">
        <v>2</v>
      </c>
      <c r="P37" s="24">
        <v>2</v>
      </c>
      <c r="Q37" s="22">
        <v>2</v>
      </c>
      <c r="R37" s="21">
        <v>2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</row>
    <row r="38" spans="2:32" x14ac:dyDescent="0.25">
      <c r="C38" s="19" t="s">
        <v>51</v>
      </c>
      <c r="E38" s="20" t="s">
        <v>14</v>
      </c>
      <c r="G38" s="21">
        <v>2</v>
      </c>
      <c r="H38" s="21">
        <v>2</v>
      </c>
      <c r="I38" s="21">
        <v>2</v>
      </c>
      <c r="J38" s="21">
        <v>2</v>
      </c>
      <c r="K38" s="21">
        <v>2</v>
      </c>
      <c r="L38" s="21">
        <v>2</v>
      </c>
      <c r="M38" s="21">
        <v>2</v>
      </c>
      <c r="N38" s="21">
        <v>2</v>
      </c>
      <c r="O38" s="21">
        <v>2</v>
      </c>
      <c r="P38" s="24">
        <v>2</v>
      </c>
      <c r="Q38" s="23">
        <v>2</v>
      </c>
      <c r="R38" s="21">
        <v>2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</row>
    <row r="39" spans="2:32" x14ac:dyDescent="0.25">
      <c r="C39" s="19" t="s">
        <v>52</v>
      </c>
      <c r="E39" s="20" t="s">
        <v>15</v>
      </c>
      <c r="G39" s="21">
        <v>2</v>
      </c>
      <c r="H39" s="21">
        <v>2</v>
      </c>
      <c r="I39" s="21">
        <v>2</v>
      </c>
      <c r="J39" s="21">
        <v>2</v>
      </c>
      <c r="K39" s="21">
        <v>2</v>
      </c>
      <c r="L39" s="21">
        <v>2</v>
      </c>
      <c r="M39" s="21">
        <v>2</v>
      </c>
      <c r="N39" s="21">
        <v>2</v>
      </c>
      <c r="O39" s="21">
        <v>2</v>
      </c>
      <c r="P39" s="21">
        <v>2</v>
      </c>
      <c r="Q39" s="24">
        <v>2</v>
      </c>
      <c r="R39" s="22">
        <v>2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</row>
    <row r="40" spans="2:32" x14ac:dyDescent="0.25">
      <c r="C40" s="19" t="s">
        <v>53</v>
      </c>
      <c r="E40" s="20" t="s">
        <v>15</v>
      </c>
      <c r="G40" s="21">
        <v>2</v>
      </c>
      <c r="H40" s="21">
        <v>2</v>
      </c>
      <c r="I40" s="21">
        <v>2</v>
      </c>
      <c r="J40" s="21">
        <v>2</v>
      </c>
      <c r="K40" s="21">
        <v>2</v>
      </c>
      <c r="L40" s="21">
        <v>2</v>
      </c>
      <c r="M40" s="21">
        <v>2</v>
      </c>
      <c r="N40" s="21">
        <v>2</v>
      </c>
      <c r="O40" s="21">
        <v>2</v>
      </c>
      <c r="P40" s="21">
        <v>2</v>
      </c>
      <c r="Q40" s="21">
        <v>2</v>
      </c>
      <c r="R40" s="25">
        <v>2</v>
      </c>
      <c r="S40" s="21">
        <v>2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</row>
    <row r="41" spans="2:32" x14ac:dyDescent="0.25">
      <c r="B41" s="18"/>
      <c r="C41" s="19" t="s">
        <v>54</v>
      </c>
      <c r="E41" s="20" t="s">
        <v>16</v>
      </c>
      <c r="G41" s="21">
        <v>3</v>
      </c>
      <c r="H41" s="21">
        <v>3</v>
      </c>
      <c r="I41" s="21">
        <v>3</v>
      </c>
      <c r="J41" s="21">
        <v>3</v>
      </c>
      <c r="K41" s="21">
        <v>3</v>
      </c>
      <c r="L41" s="21">
        <v>3</v>
      </c>
      <c r="M41" s="21">
        <v>3</v>
      </c>
      <c r="N41" s="21">
        <v>3</v>
      </c>
      <c r="O41" s="21">
        <v>3</v>
      </c>
      <c r="P41" s="21">
        <v>3</v>
      </c>
      <c r="Q41" s="21">
        <v>3</v>
      </c>
      <c r="R41" s="22">
        <v>3</v>
      </c>
      <c r="S41" s="21">
        <v>3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</row>
    <row r="42" spans="2:32" x14ac:dyDescent="0.25">
      <c r="C42" s="19" t="s">
        <v>55</v>
      </c>
      <c r="E42" s="20" t="s">
        <v>16</v>
      </c>
      <c r="G42" s="21">
        <v>3</v>
      </c>
      <c r="H42" s="21">
        <v>3</v>
      </c>
      <c r="I42" s="21">
        <v>3</v>
      </c>
      <c r="J42" s="21">
        <v>3</v>
      </c>
      <c r="K42" s="21">
        <v>3</v>
      </c>
      <c r="L42" s="21">
        <v>3</v>
      </c>
      <c r="M42" s="21">
        <v>3</v>
      </c>
      <c r="N42" s="21">
        <v>3</v>
      </c>
      <c r="O42" s="21">
        <v>3</v>
      </c>
      <c r="P42" s="21">
        <v>3</v>
      </c>
      <c r="Q42" s="21">
        <v>3</v>
      </c>
      <c r="R42" s="22">
        <v>3</v>
      </c>
      <c r="S42" s="21">
        <v>3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</row>
    <row r="43" spans="2:32" x14ac:dyDescent="0.25">
      <c r="C43" s="19" t="s">
        <v>56</v>
      </c>
      <c r="E43" s="20" t="s">
        <v>14</v>
      </c>
      <c r="G43" s="21">
        <v>3</v>
      </c>
      <c r="H43" s="21">
        <v>3</v>
      </c>
      <c r="I43" s="21">
        <v>3</v>
      </c>
      <c r="J43" s="21">
        <v>3</v>
      </c>
      <c r="K43" s="21">
        <v>3</v>
      </c>
      <c r="L43" s="21">
        <v>3</v>
      </c>
      <c r="M43" s="21">
        <v>3</v>
      </c>
      <c r="N43" s="21">
        <v>3</v>
      </c>
      <c r="O43" s="21">
        <v>3</v>
      </c>
      <c r="P43" s="21">
        <v>3</v>
      </c>
      <c r="Q43" s="21">
        <v>3</v>
      </c>
      <c r="R43" s="21">
        <v>3</v>
      </c>
      <c r="S43" s="22">
        <v>3</v>
      </c>
      <c r="T43" s="21">
        <v>3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</row>
    <row r="44" spans="2:32" x14ac:dyDescent="0.25">
      <c r="C44" s="19" t="s">
        <v>57</v>
      </c>
      <c r="E44" s="20" t="s">
        <v>14</v>
      </c>
      <c r="G44" s="21">
        <v>3</v>
      </c>
      <c r="H44" s="21">
        <v>3</v>
      </c>
      <c r="I44" s="21">
        <v>3</v>
      </c>
      <c r="J44" s="21">
        <v>3</v>
      </c>
      <c r="K44" s="21">
        <v>3</v>
      </c>
      <c r="L44" s="21">
        <v>3</v>
      </c>
      <c r="M44" s="21">
        <v>3</v>
      </c>
      <c r="N44" s="21">
        <v>3</v>
      </c>
      <c r="O44" s="21">
        <v>3</v>
      </c>
      <c r="P44" s="21">
        <v>3</v>
      </c>
      <c r="Q44" s="21">
        <v>3</v>
      </c>
      <c r="R44" s="21">
        <v>3</v>
      </c>
      <c r="S44" s="26">
        <v>3</v>
      </c>
      <c r="T44" s="21">
        <v>3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</row>
    <row r="45" spans="2:32" x14ac:dyDescent="0.25">
      <c r="C45" s="19" t="s">
        <v>58</v>
      </c>
      <c r="E45" s="20" t="s">
        <v>17</v>
      </c>
      <c r="G45" s="21">
        <v>3</v>
      </c>
      <c r="H45" s="21">
        <v>3</v>
      </c>
      <c r="I45" s="21">
        <v>3</v>
      </c>
      <c r="J45" s="21">
        <v>3</v>
      </c>
      <c r="K45" s="21">
        <v>3</v>
      </c>
      <c r="L45" s="21">
        <v>3</v>
      </c>
      <c r="M45" s="21">
        <v>3</v>
      </c>
      <c r="N45" s="21">
        <v>3</v>
      </c>
      <c r="O45" s="21">
        <v>3</v>
      </c>
      <c r="P45" s="21">
        <v>3</v>
      </c>
      <c r="Q45" s="21">
        <v>3</v>
      </c>
      <c r="R45" s="21">
        <v>3</v>
      </c>
      <c r="S45" s="22">
        <v>3</v>
      </c>
      <c r="T45" s="21">
        <v>3</v>
      </c>
      <c r="U45" s="21">
        <v>3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</row>
    <row r="46" spans="2:32" x14ac:dyDescent="0.25">
      <c r="C46" s="19" t="s">
        <v>59</v>
      </c>
      <c r="E46" s="20" t="s">
        <v>17</v>
      </c>
      <c r="G46" s="21">
        <v>4</v>
      </c>
      <c r="H46" s="21">
        <v>4</v>
      </c>
      <c r="I46" s="21">
        <v>4</v>
      </c>
      <c r="J46" s="21">
        <v>4</v>
      </c>
      <c r="K46" s="21">
        <v>4</v>
      </c>
      <c r="L46" s="21">
        <v>4</v>
      </c>
      <c r="M46" s="21">
        <v>4</v>
      </c>
      <c r="N46" s="21">
        <v>4</v>
      </c>
      <c r="O46" s="21">
        <v>4</v>
      </c>
      <c r="P46" s="21">
        <v>4</v>
      </c>
      <c r="Q46" s="21">
        <v>4</v>
      </c>
      <c r="R46" s="21">
        <v>4</v>
      </c>
      <c r="S46" s="26">
        <v>4</v>
      </c>
      <c r="T46" s="21">
        <v>4</v>
      </c>
      <c r="U46" s="21">
        <v>4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</row>
    <row r="47" spans="2:32" x14ac:dyDescent="0.25">
      <c r="C47" s="19" t="s">
        <v>60</v>
      </c>
      <c r="E47" s="20" t="s">
        <v>18</v>
      </c>
      <c r="G47" s="21">
        <v>4</v>
      </c>
      <c r="H47" s="21">
        <v>4</v>
      </c>
      <c r="I47" s="21">
        <v>4</v>
      </c>
      <c r="J47" s="21">
        <v>4</v>
      </c>
      <c r="K47" s="21">
        <v>4</v>
      </c>
      <c r="L47" s="21">
        <v>4</v>
      </c>
      <c r="M47" s="21">
        <v>4</v>
      </c>
      <c r="N47" s="21">
        <v>4</v>
      </c>
      <c r="O47" s="21">
        <v>4</v>
      </c>
      <c r="P47" s="21">
        <v>4</v>
      </c>
      <c r="Q47" s="21">
        <v>4</v>
      </c>
      <c r="R47" s="21">
        <v>4</v>
      </c>
      <c r="S47" s="21">
        <v>4</v>
      </c>
      <c r="T47" s="22">
        <v>4</v>
      </c>
      <c r="U47" s="21">
        <v>4</v>
      </c>
      <c r="V47" s="21">
        <v>4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</row>
    <row r="48" spans="2:32" x14ac:dyDescent="0.25">
      <c r="C48" s="19" t="s">
        <v>61</v>
      </c>
      <c r="E48" s="20" t="s">
        <v>16</v>
      </c>
      <c r="G48" s="21">
        <v>4</v>
      </c>
      <c r="H48" s="21">
        <v>4</v>
      </c>
      <c r="I48" s="21">
        <v>4</v>
      </c>
      <c r="J48" s="21">
        <v>4</v>
      </c>
      <c r="K48" s="21">
        <v>4</v>
      </c>
      <c r="L48" s="21">
        <v>4</v>
      </c>
      <c r="M48" s="21">
        <v>4</v>
      </c>
      <c r="N48" s="21">
        <v>4</v>
      </c>
      <c r="O48" s="21">
        <v>4</v>
      </c>
      <c r="P48" s="21">
        <v>4</v>
      </c>
      <c r="Q48" s="21">
        <v>4</v>
      </c>
      <c r="R48" s="21">
        <v>4</v>
      </c>
      <c r="S48" s="21">
        <v>4</v>
      </c>
      <c r="T48" s="25">
        <v>4</v>
      </c>
      <c r="U48" s="21">
        <v>4</v>
      </c>
      <c r="V48" s="21">
        <v>4</v>
      </c>
      <c r="W48" s="21">
        <v>4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</row>
    <row r="49" spans="2:32" x14ac:dyDescent="0.25">
      <c r="C49" s="19" t="s">
        <v>62</v>
      </c>
      <c r="E49" s="20" t="s">
        <v>15</v>
      </c>
      <c r="G49" s="21">
        <v>3</v>
      </c>
      <c r="H49" s="21">
        <v>3</v>
      </c>
      <c r="I49" s="21">
        <v>3</v>
      </c>
      <c r="J49" s="21">
        <v>3</v>
      </c>
      <c r="K49" s="21">
        <v>3</v>
      </c>
      <c r="L49" s="21">
        <v>3</v>
      </c>
      <c r="M49" s="21">
        <v>3</v>
      </c>
      <c r="N49" s="21">
        <v>3</v>
      </c>
      <c r="O49" s="21">
        <v>3</v>
      </c>
      <c r="P49" s="21">
        <v>3</v>
      </c>
      <c r="Q49" s="21">
        <v>3</v>
      </c>
      <c r="R49" s="21">
        <v>3</v>
      </c>
      <c r="S49" s="21">
        <v>3</v>
      </c>
      <c r="T49" s="22">
        <v>3</v>
      </c>
      <c r="U49" s="21">
        <v>3</v>
      </c>
      <c r="V49" s="21">
        <v>3</v>
      </c>
      <c r="W49" s="21">
        <v>3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</row>
    <row r="50" spans="2:32" x14ac:dyDescent="0.25">
      <c r="C50" s="19" t="s">
        <v>63</v>
      </c>
      <c r="E50" s="20" t="s">
        <v>15</v>
      </c>
      <c r="G50" s="21">
        <v>4</v>
      </c>
      <c r="H50" s="21">
        <v>4</v>
      </c>
      <c r="I50" s="21">
        <v>4</v>
      </c>
      <c r="J50" s="21">
        <v>4</v>
      </c>
      <c r="K50" s="21">
        <v>4</v>
      </c>
      <c r="L50" s="21">
        <v>4</v>
      </c>
      <c r="M50" s="21">
        <v>4</v>
      </c>
      <c r="N50" s="21">
        <v>4</v>
      </c>
      <c r="O50" s="21">
        <v>4</v>
      </c>
      <c r="P50" s="21">
        <v>4</v>
      </c>
      <c r="Q50" s="21">
        <v>4</v>
      </c>
      <c r="R50" s="21">
        <v>4</v>
      </c>
      <c r="S50" s="21">
        <v>4</v>
      </c>
      <c r="T50" s="26">
        <v>4</v>
      </c>
      <c r="U50" s="21">
        <v>4</v>
      </c>
      <c r="V50" s="21">
        <v>4</v>
      </c>
      <c r="W50" s="21">
        <v>4</v>
      </c>
      <c r="X50" s="21">
        <v>4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</row>
    <row r="51" spans="2:32" x14ac:dyDescent="0.25">
      <c r="C51" s="19" t="s">
        <v>64</v>
      </c>
      <c r="E51" s="20" t="s">
        <v>65</v>
      </c>
      <c r="G51" s="21">
        <v>8</v>
      </c>
      <c r="H51" s="21">
        <v>8</v>
      </c>
      <c r="I51" s="21">
        <v>8</v>
      </c>
      <c r="J51" s="21">
        <v>8</v>
      </c>
      <c r="K51" s="21">
        <v>8</v>
      </c>
      <c r="L51" s="21">
        <v>8</v>
      </c>
      <c r="M51" s="21">
        <v>8</v>
      </c>
      <c r="N51" s="21">
        <v>8</v>
      </c>
      <c r="O51" s="21">
        <v>8</v>
      </c>
      <c r="P51" s="21">
        <v>8</v>
      </c>
      <c r="Q51" s="21">
        <v>8</v>
      </c>
      <c r="R51" s="21">
        <v>8</v>
      </c>
      <c r="S51" s="21">
        <v>8</v>
      </c>
      <c r="T51" s="21">
        <v>8</v>
      </c>
      <c r="U51" s="22">
        <v>8</v>
      </c>
      <c r="V51" s="21">
        <v>8</v>
      </c>
      <c r="W51" s="21">
        <v>8</v>
      </c>
      <c r="X51" s="21">
        <v>8</v>
      </c>
      <c r="Y51" s="21">
        <v>4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</row>
    <row r="52" spans="2:32" x14ac:dyDescent="0.25">
      <c r="B52" s="21" t="s">
        <v>66</v>
      </c>
      <c r="C52" s="19" t="s">
        <v>67</v>
      </c>
      <c r="E52" s="20" t="s">
        <v>14</v>
      </c>
      <c r="G52" s="21">
        <v>1</v>
      </c>
      <c r="H52" s="21">
        <v>1</v>
      </c>
      <c r="I52" s="21">
        <v>1</v>
      </c>
      <c r="J52" s="21">
        <v>1</v>
      </c>
      <c r="K52" s="21">
        <v>1</v>
      </c>
      <c r="L52" s="21">
        <v>1</v>
      </c>
      <c r="M52" s="21">
        <v>1</v>
      </c>
      <c r="N52" s="21">
        <v>1</v>
      </c>
      <c r="O52" s="21">
        <v>1</v>
      </c>
      <c r="P52" s="21">
        <v>1</v>
      </c>
      <c r="Q52" s="21">
        <v>1</v>
      </c>
      <c r="R52" s="21">
        <v>1</v>
      </c>
      <c r="S52" s="21">
        <v>1</v>
      </c>
      <c r="T52" s="21">
        <v>1</v>
      </c>
      <c r="U52" s="22">
        <v>1</v>
      </c>
      <c r="V52" s="21">
        <v>1</v>
      </c>
      <c r="W52" s="21">
        <v>1</v>
      </c>
      <c r="X52" s="21">
        <v>1</v>
      </c>
      <c r="Y52" s="21">
        <v>1</v>
      </c>
      <c r="Z52" s="21">
        <v>1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</row>
    <row r="53" spans="2:32" x14ac:dyDescent="0.25">
      <c r="C53" s="19" t="s">
        <v>68</v>
      </c>
      <c r="E53" s="20" t="s">
        <v>15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2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</row>
    <row r="54" spans="2:32" x14ac:dyDescent="0.25">
      <c r="C54" s="19" t="s">
        <v>69</v>
      </c>
      <c r="E54" s="20" t="s">
        <v>16</v>
      </c>
      <c r="G54" s="21">
        <v>1</v>
      </c>
      <c r="H54" s="21">
        <v>1</v>
      </c>
      <c r="I54" s="21">
        <v>1</v>
      </c>
      <c r="J54" s="21">
        <v>1</v>
      </c>
      <c r="K54" s="21">
        <v>1</v>
      </c>
      <c r="L54" s="21">
        <v>1</v>
      </c>
      <c r="M54" s="21">
        <v>1</v>
      </c>
      <c r="N54" s="21">
        <v>1</v>
      </c>
      <c r="O54" s="21">
        <v>1</v>
      </c>
      <c r="P54" s="21">
        <v>1</v>
      </c>
      <c r="Q54" s="21">
        <v>1</v>
      </c>
      <c r="R54" s="21">
        <v>1</v>
      </c>
      <c r="S54" s="21">
        <v>1</v>
      </c>
      <c r="T54" s="21">
        <v>1</v>
      </c>
      <c r="U54" s="21">
        <v>1</v>
      </c>
      <c r="V54" s="22">
        <v>1</v>
      </c>
      <c r="W54" s="21">
        <v>1</v>
      </c>
      <c r="X54" s="21">
        <v>1</v>
      </c>
      <c r="Y54" s="21">
        <v>1</v>
      </c>
      <c r="Z54" s="21">
        <v>1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</row>
    <row r="55" spans="2:32" x14ac:dyDescent="0.25">
      <c r="C55" s="19" t="s">
        <v>70</v>
      </c>
      <c r="E55" s="20" t="s">
        <v>14</v>
      </c>
      <c r="G55" s="21">
        <v>1</v>
      </c>
      <c r="H55" s="21">
        <v>1</v>
      </c>
      <c r="I55" s="21">
        <v>1</v>
      </c>
      <c r="J55" s="21">
        <v>1</v>
      </c>
      <c r="K55" s="21">
        <v>1</v>
      </c>
      <c r="L55" s="21">
        <v>1</v>
      </c>
      <c r="M55" s="21">
        <v>1</v>
      </c>
      <c r="N55" s="21">
        <v>1</v>
      </c>
      <c r="O55" s="21">
        <v>1</v>
      </c>
      <c r="P55" s="21">
        <v>1</v>
      </c>
      <c r="Q55" s="21">
        <v>1</v>
      </c>
      <c r="R55" s="21">
        <v>1</v>
      </c>
      <c r="S55" s="21">
        <v>1</v>
      </c>
      <c r="T55" s="21">
        <v>1</v>
      </c>
      <c r="U55" s="21">
        <v>1</v>
      </c>
      <c r="V55" s="21">
        <v>1</v>
      </c>
      <c r="W55" s="22">
        <v>1</v>
      </c>
      <c r="X55" s="21">
        <v>1</v>
      </c>
      <c r="Y55" s="21">
        <v>1</v>
      </c>
      <c r="Z55" s="21">
        <v>1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</row>
    <row r="56" spans="2:32" x14ac:dyDescent="0.25">
      <c r="C56" s="19" t="s">
        <v>71</v>
      </c>
      <c r="E56" s="20" t="s">
        <v>17</v>
      </c>
      <c r="G56" s="21">
        <v>1</v>
      </c>
      <c r="H56" s="21">
        <v>1</v>
      </c>
      <c r="I56" s="21">
        <v>1</v>
      </c>
      <c r="J56" s="21">
        <v>1</v>
      </c>
      <c r="K56" s="21">
        <v>1</v>
      </c>
      <c r="L56" s="21">
        <v>1</v>
      </c>
      <c r="M56" s="21">
        <v>1</v>
      </c>
      <c r="N56" s="21">
        <v>1</v>
      </c>
      <c r="O56" s="21">
        <v>1</v>
      </c>
      <c r="P56" s="21">
        <v>1</v>
      </c>
      <c r="Q56" s="21">
        <v>1</v>
      </c>
      <c r="R56" s="21">
        <v>1</v>
      </c>
      <c r="S56" s="21">
        <v>1</v>
      </c>
      <c r="T56" s="21">
        <v>1</v>
      </c>
      <c r="U56" s="21">
        <v>1</v>
      </c>
      <c r="V56" s="21">
        <v>1</v>
      </c>
      <c r="W56" s="22">
        <v>1</v>
      </c>
      <c r="X56" s="21">
        <v>1</v>
      </c>
      <c r="Y56" s="21">
        <v>1</v>
      </c>
      <c r="Z56" s="21">
        <v>1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</row>
    <row r="57" spans="2:32" x14ac:dyDescent="0.25">
      <c r="C57" s="19" t="s">
        <v>72</v>
      </c>
      <c r="E57" s="20" t="s">
        <v>18</v>
      </c>
      <c r="G57" s="21">
        <v>1</v>
      </c>
      <c r="H57" s="21">
        <v>1</v>
      </c>
      <c r="I57" s="21">
        <v>1</v>
      </c>
      <c r="J57" s="21">
        <v>1</v>
      </c>
      <c r="K57" s="21">
        <v>1</v>
      </c>
      <c r="L57" s="21">
        <v>1</v>
      </c>
      <c r="M57" s="21">
        <v>1</v>
      </c>
      <c r="N57" s="21">
        <v>1</v>
      </c>
      <c r="O57" s="21">
        <v>1</v>
      </c>
      <c r="P57" s="21">
        <v>1</v>
      </c>
      <c r="Q57" s="21">
        <v>1</v>
      </c>
      <c r="R57" s="21">
        <v>1</v>
      </c>
      <c r="S57" s="21">
        <v>1</v>
      </c>
      <c r="T57" s="21">
        <v>1</v>
      </c>
      <c r="U57" s="21">
        <v>1</v>
      </c>
      <c r="V57" s="21">
        <v>1</v>
      </c>
      <c r="W57" s="21">
        <v>1</v>
      </c>
      <c r="X57" s="22">
        <v>1</v>
      </c>
      <c r="Y57" s="21">
        <v>1</v>
      </c>
      <c r="Z57" s="21">
        <v>1</v>
      </c>
      <c r="AA57" s="21">
        <v>1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</row>
    <row r="58" spans="2:32" x14ac:dyDescent="0.25">
      <c r="C58" s="19" t="s">
        <v>73</v>
      </c>
      <c r="E58" s="20" t="s">
        <v>16</v>
      </c>
      <c r="G58" s="21">
        <v>1</v>
      </c>
      <c r="H58" s="21">
        <v>1</v>
      </c>
      <c r="I58" s="21">
        <v>1</v>
      </c>
      <c r="J58" s="21">
        <v>1</v>
      </c>
      <c r="K58" s="21">
        <v>1</v>
      </c>
      <c r="L58" s="21">
        <v>1</v>
      </c>
      <c r="M58" s="21">
        <v>1</v>
      </c>
      <c r="N58" s="21">
        <v>1</v>
      </c>
      <c r="O58" s="21">
        <v>1</v>
      </c>
      <c r="P58" s="21">
        <v>1</v>
      </c>
      <c r="Q58" s="21">
        <v>1</v>
      </c>
      <c r="R58" s="21">
        <v>1</v>
      </c>
      <c r="S58" s="21">
        <v>1</v>
      </c>
      <c r="T58" s="21">
        <v>1</v>
      </c>
      <c r="U58" s="21">
        <v>1</v>
      </c>
      <c r="V58" s="21">
        <v>1</v>
      </c>
      <c r="W58" s="21">
        <v>1</v>
      </c>
      <c r="X58" s="22">
        <v>1</v>
      </c>
      <c r="Y58" s="21">
        <v>1</v>
      </c>
      <c r="Z58" s="21">
        <v>1</v>
      </c>
      <c r="AA58" s="21">
        <v>1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</row>
    <row r="59" spans="2:32" x14ac:dyDescent="0.25">
      <c r="C59" s="19" t="s">
        <v>74</v>
      </c>
      <c r="E59" s="20" t="s">
        <v>15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2">
        <v>1</v>
      </c>
      <c r="Y59" s="21">
        <v>1</v>
      </c>
      <c r="Z59" s="21">
        <v>1</v>
      </c>
      <c r="AA59" s="21">
        <v>1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</row>
    <row r="60" spans="2:32" x14ac:dyDescent="0.25">
      <c r="B60" s="21" t="s">
        <v>75</v>
      </c>
      <c r="C60" s="19" t="s">
        <v>76</v>
      </c>
      <c r="E60" s="20" t="s">
        <v>28</v>
      </c>
      <c r="G60" s="21">
        <v>1</v>
      </c>
      <c r="H60" s="21">
        <v>1</v>
      </c>
      <c r="I60" s="21">
        <v>1</v>
      </c>
      <c r="J60" s="21">
        <v>1</v>
      </c>
      <c r="K60" s="21">
        <v>1</v>
      </c>
      <c r="L60" s="21">
        <v>1</v>
      </c>
      <c r="M60" s="21">
        <v>1</v>
      </c>
      <c r="N60" s="21">
        <v>1</v>
      </c>
      <c r="O60" s="21">
        <v>1</v>
      </c>
      <c r="P60" s="21">
        <v>1</v>
      </c>
      <c r="Q60" s="21">
        <v>1</v>
      </c>
      <c r="R60" s="21">
        <v>1</v>
      </c>
      <c r="S60" s="21">
        <v>1</v>
      </c>
      <c r="T60" s="21">
        <v>1</v>
      </c>
      <c r="U60" s="21">
        <v>1</v>
      </c>
      <c r="V60" s="21">
        <v>1</v>
      </c>
      <c r="W60" s="21">
        <v>1</v>
      </c>
      <c r="X60" s="22">
        <v>1</v>
      </c>
      <c r="Y60" s="21">
        <v>1</v>
      </c>
      <c r="Z60" s="21">
        <v>1</v>
      </c>
      <c r="AA60" s="21">
        <v>1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</row>
    <row r="61" spans="2:32" x14ac:dyDescent="0.25">
      <c r="C61" s="19" t="s">
        <v>77</v>
      </c>
      <c r="E61" s="27" t="s">
        <v>28</v>
      </c>
      <c r="G61" s="21">
        <v>1</v>
      </c>
      <c r="H61" s="21">
        <v>1</v>
      </c>
      <c r="I61" s="21">
        <v>1</v>
      </c>
      <c r="J61" s="21">
        <v>1</v>
      </c>
      <c r="K61" s="21">
        <v>1</v>
      </c>
      <c r="L61" s="21">
        <v>1</v>
      </c>
      <c r="M61" s="21">
        <v>1</v>
      </c>
      <c r="N61" s="21">
        <v>1</v>
      </c>
      <c r="O61" s="21">
        <v>1</v>
      </c>
      <c r="P61" s="21">
        <v>1</v>
      </c>
      <c r="Q61" s="21">
        <v>1</v>
      </c>
      <c r="R61" s="21">
        <v>1</v>
      </c>
      <c r="S61" s="21">
        <v>1</v>
      </c>
      <c r="T61" s="21">
        <v>1</v>
      </c>
      <c r="U61" s="21">
        <v>1</v>
      </c>
      <c r="V61" s="21">
        <v>1</v>
      </c>
      <c r="W61" s="21">
        <v>1</v>
      </c>
      <c r="X61" s="21">
        <v>1</v>
      </c>
      <c r="Y61" s="22">
        <v>1</v>
      </c>
      <c r="Z61" s="21">
        <v>1</v>
      </c>
      <c r="AA61" s="21">
        <v>1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</row>
    <row r="62" spans="2:32" x14ac:dyDescent="0.25">
      <c r="C62" s="20" t="s">
        <v>78</v>
      </c>
      <c r="E62" s="20" t="s">
        <v>79</v>
      </c>
      <c r="G62" s="21">
        <v>1</v>
      </c>
      <c r="H62" s="21">
        <v>1</v>
      </c>
      <c r="I62" s="21">
        <v>1</v>
      </c>
      <c r="J62" s="21">
        <v>1</v>
      </c>
      <c r="K62" s="21">
        <v>1</v>
      </c>
      <c r="L62" s="21">
        <v>1</v>
      </c>
      <c r="M62" s="21">
        <v>1</v>
      </c>
      <c r="N62" s="21">
        <v>1</v>
      </c>
      <c r="O62" s="21">
        <v>1</v>
      </c>
      <c r="P62" s="21">
        <v>1</v>
      </c>
      <c r="Q62" s="21">
        <v>1</v>
      </c>
      <c r="R62" s="21">
        <v>1</v>
      </c>
      <c r="S62" s="21">
        <v>1</v>
      </c>
      <c r="T62" s="21">
        <v>1</v>
      </c>
      <c r="U62" s="21">
        <v>1</v>
      </c>
      <c r="V62" s="21">
        <v>1</v>
      </c>
      <c r="W62" s="21">
        <v>1</v>
      </c>
      <c r="X62" s="21">
        <v>1</v>
      </c>
      <c r="Y62" s="25">
        <v>1</v>
      </c>
      <c r="Z62" s="21">
        <v>1</v>
      </c>
      <c r="AA62" s="21">
        <v>1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</row>
    <row r="63" spans="2:32" x14ac:dyDescent="0.25">
      <c r="B63" s="18"/>
      <c r="C63" s="19" t="s">
        <v>80</v>
      </c>
      <c r="E63" s="20" t="s">
        <v>28</v>
      </c>
      <c r="G63" s="21">
        <v>1</v>
      </c>
      <c r="H63" s="21">
        <v>1</v>
      </c>
      <c r="I63" s="21">
        <v>1</v>
      </c>
      <c r="J63" s="21">
        <v>1</v>
      </c>
      <c r="K63" s="21">
        <v>1</v>
      </c>
      <c r="L63" s="21">
        <v>1</v>
      </c>
      <c r="M63" s="21">
        <v>1</v>
      </c>
      <c r="N63" s="21">
        <v>1</v>
      </c>
      <c r="O63" s="21">
        <v>1</v>
      </c>
      <c r="P63" s="21">
        <v>1</v>
      </c>
      <c r="Q63" s="21">
        <v>1</v>
      </c>
      <c r="R63" s="21">
        <v>1</v>
      </c>
      <c r="S63" s="21">
        <v>1</v>
      </c>
      <c r="T63" s="21">
        <v>1</v>
      </c>
      <c r="U63" s="21">
        <v>1</v>
      </c>
      <c r="V63" s="21">
        <v>1</v>
      </c>
      <c r="W63" s="21">
        <v>1</v>
      </c>
      <c r="X63" s="21">
        <v>1</v>
      </c>
      <c r="Y63" s="21">
        <v>1</v>
      </c>
      <c r="Z63" s="22">
        <v>1</v>
      </c>
      <c r="AA63" s="21">
        <v>1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</row>
    <row r="64" spans="2:32" x14ac:dyDescent="0.25">
      <c r="C64" s="19" t="s">
        <v>81</v>
      </c>
      <c r="E64" s="20" t="s">
        <v>82</v>
      </c>
      <c r="G64" s="21">
        <v>1</v>
      </c>
      <c r="H64" s="21">
        <v>1</v>
      </c>
      <c r="I64" s="21">
        <v>1</v>
      </c>
      <c r="J64" s="21">
        <v>1</v>
      </c>
      <c r="K64" s="21">
        <v>1</v>
      </c>
      <c r="L64" s="21">
        <v>1</v>
      </c>
      <c r="M64" s="21">
        <v>1</v>
      </c>
      <c r="N64" s="21">
        <v>1</v>
      </c>
      <c r="O64" s="21">
        <v>1</v>
      </c>
      <c r="P64" s="21">
        <v>1</v>
      </c>
      <c r="Q64" s="21">
        <v>1</v>
      </c>
      <c r="R64" s="21">
        <v>1</v>
      </c>
      <c r="S64" s="21">
        <v>1</v>
      </c>
      <c r="T64" s="21">
        <v>1</v>
      </c>
      <c r="U64" s="21">
        <v>1</v>
      </c>
      <c r="V64" s="21">
        <v>1</v>
      </c>
      <c r="W64" s="21">
        <v>1</v>
      </c>
      <c r="X64" s="21">
        <v>1</v>
      </c>
      <c r="Y64" s="21">
        <v>1</v>
      </c>
      <c r="Z64" s="22">
        <v>1</v>
      </c>
      <c r="AA64" s="21">
        <v>1</v>
      </c>
      <c r="AB64" s="21">
        <v>1</v>
      </c>
      <c r="AC64" s="21">
        <v>0</v>
      </c>
      <c r="AD64" s="21">
        <v>0</v>
      </c>
      <c r="AE64" s="21">
        <v>0</v>
      </c>
      <c r="AF64" s="21">
        <v>0</v>
      </c>
    </row>
    <row r="65" spans="2:37" x14ac:dyDescent="0.25">
      <c r="C65" s="19" t="s">
        <v>83</v>
      </c>
      <c r="E65" s="20" t="s">
        <v>84</v>
      </c>
      <c r="G65" s="21">
        <v>2</v>
      </c>
      <c r="H65" s="21">
        <v>2</v>
      </c>
      <c r="I65" s="21">
        <v>2</v>
      </c>
      <c r="J65" s="21">
        <v>2</v>
      </c>
      <c r="K65" s="21">
        <v>2</v>
      </c>
      <c r="L65" s="21">
        <v>2</v>
      </c>
      <c r="M65" s="21">
        <v>2</v>
      </c>
      <c r="N65" s="21">
        <v>2</v>
      </c>
      <c r="O65" s="21">
        <v>2</v>
      </c>
      <c r="P65" s="21">
        <v>2</v>
      </c>
      <c r="Q65" s="21">
        <v>2</v>
      </c>
      <c r="R65" s="21">
        <v>2</v>
      </c>
      <c r="S65" s="21">
        <v>2</v>
      </c>
      <c r="T65" s="21">
        <v>2</v>
      </c>
      <c r="U65" s="21">
        <v>2</v>
      </c>
      <c r="V65" s="21">
        <v>2</v>
      </c>
      <c r="W65" s="21">
        <v>2</v>
      </c>
      <c r="X65" s="21">
        <v>2</v>
      </c>
      <c r="Y65" s="21">
        <v>2</v>
      </c>
      <c r="Z65" s="22">
        <v>2</v>
      </c>
      <c r="AA65" s="21">
        <v>2</v>
      </c>
      <c r="AB65" s="21">
        <v>2</v>
      </c>
      <c r="AC65" s="21">
        <v>0</v>
      </c>
      <c r="AD65" s="21">
        <v>0</v>
      </c>
      <c r="AE65" s="21">
        <v>0</v>
      </c>
      <c r="AF65" s="21">
        <v>0</v>
      </c>
    </row>
    <row r="66" spans="2:37" x14ac:dyDescent="0.25">
      <c r="B66" s="21" t="s">
        <v>85</v>
      </c>
      <c r="C66" s="19" t="s">
        <v>86</v>
      </c>
      <c r="E66" s="20" t="s">
        <v>14</v>
      </c>
      <c r="G66" s="21">
        <v>1</v>
      </c>
      <c r="H66" s="21">
        <v>1</v>
      </c>
      <c r="I66" s="21">
        <v>1</v>
      </c>
      <c r="J66" s="21">
        <v>1</v>
      </c>
      <c r="K66" s="21">
        <v>1</v>
      </c>
      <c r="L66" s="21">
        <v>1</v>
      </c>
      <c r="M66" s="21">
        <v>1</v>
      </c>
      <c r="N66" s="21">
        <v>1</v>
      </c>
      <c r="O66" s="21">
        <v>1</v>
      </c>
      <c r="P66" s="21">
        <v>1</v>
      </c>
      <c r="Q66" s="21">
        <v>1</v>
      </c>
      <c r="R66" s="21">
        <v>1</v>
      </c>
      <c r="S66" s="21">
        <v>1</v>
      </c>
      <c r="T66" s="21">
        <v>1</v>
      </c>
      <c r="U66" s="21">
        <v>1</v>
      </c>
      <c r="V66" s="21">
        <v>1</v>
      </c>
      <c r="W66" s="21">
        <v>1</v>
      </c>
      <c r="X66" s="21">
        <v>1</v>
      </c>
      <c r="Y66" s="21">
        <v>1</v>
      </c>
      <c r="Z66" s="22">
        <v>1</v>
      </c>
      <c r="AA66" s="21">
        <v>1</v>
      </c>
      <c r="AB66" s="21">
        <v>1</v>
      </c>
      <c r="AC66" s="21">
        <v>0</v>
      </c>
      <c r="AD66" s="21">
        <v>0</v>
      </c>
      <c r="AE66" s="21">
        <v>0</v>
      </c>
      <c r="AF66" s="21">
        <v>0</v>
      </c>
    </row>
    <row r="67" spans="2:37" x14ac:dyDescent="0.25">
      <c r="C67" s="19" t="s">
        <v>87</v>
      </c>
      <c r="E67" s="20" t="s">
        <v>15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2">
        <v>1</v>
      </c>
      <c r="AA67" s="21">
        <v>1</v>
      </c>
      <c r="AB67" s="21">
        <v>1</v>
      </c>
      <c r="AC67" s="21">
        <v>0</v>
      </c>
      <c r="AD67" s="21">
        <v>0</v>
      </c>
      <c r="AE67" s="21">
        <v>0</v>
      </c>
      <c r="AF67" s="21">
        <v>0</v>
      </c>
    </row>
    <row r="68" spans="2:37" x14ac:dyDescent="0.25">
      <c r="C68" s="19" t="s">
        <v>88</v>
      </c>
      <c r="E68" s="20" t="s">
        <v>16</v>
      </c>
      <c r="G68" s="21">
        <v>1</v>
      </c>
      <c r="H68" s="21">
        <v>1</v>
      </c>
      <c r="I68" s="21">
        <v>1</v>
      </c>
      <c r="J68" s="21">
        <v>1</v>
      </c>
      <c r="K68" s="21">
        <v>1</v>
      </c>
      <c r="L68" s="21">
        <v>1</v>
      </c>
      <c r="M68" s="21">
        <v>1</v>
      </c>
      <c r="N68" s="21">
        <v>1</v>
      </c>
      <c r="O68" s="21">
        <v>1</v>
      </c>
      <c r="P68" s="21">
        <v>1</v>
      </c>
      <c r="Q68" s="21">
        <v>1</v>
      </c>
      <c r="R68" s="21">
        <v>1</v>
      </c>
      <c r="S68" s="21">
        <v>1</v>
      </c>
      <c r="T68" s="21">
        <v>1</v>
      </c>
      <c r="U68" s="21">
        <v>1</v>
      </c>
      <c r="V68" s="21">
        <v>1</v>
      </c>
      <c r="W68" s="21">
        <v>1</v>
      </c>
      <c r="X68" s="21">
        <v>1</v>
      </c>
      <c r="Y68" s="21">
        <v>1</v>
      </c>
      <c r="Z68" s="22">
        <v>1</v>
      </c>
      <c r="AA68" s="21">
        <v>1</v>
      </c>
      <c r="AB68" s="21">
        <v>1</v>
      </c>
      <c r="AC68" s="21">
        <v>0</v>
      </c>
      <c r="AD68" s="21">
        <v>0</v>
      </c>
      <c r="AE68" s="21">
        <v>0</v>
      </c>
      <c r="AF68" s="21">
        <v>0</v>
      </c>
    </row>
    <row r="69" spans="2:37" x14ac:dyDescent="0.25">
      <c r="C69" s="19" t="s">
        <v>89</v>
      </c>
      <c r="E69" s="20" t="s">
        <v>14</v>
      </c>
      <c r="G69" s="21">
        <v>1</v>
      </c>
      <c r="H69" s="21">
        <v>1</v>
      </c>
      <c r="I69" s="21">
        <v>1</v>
      </c>
      <c r="J69" s="21">
        <v>1</v>
      </c>
      <c r="K69" s="21">
        <v>1</v>
      </c>
      <c r="L69" s="21">
        <v>1</v>
      </c>
      <c r="M69" s="21">
        <v>1</v>
      </c>
      <c r="N69" s="21">
        <v>1</v>
      </c>
      <c r="O69" s="21">
        <v>1</v>
      </c>
      <c r="P69" s="21">
        <v>1</v>
      </c>
      <c r="Q69" s="21">
        <v>1</v>
      </c>
      <c r="R69" s="21">
        <v>1</v>
      </c>
      <c r="S69" s="21">
        <v>1</v>
      </c>
      <c r="T69" s="21">
        <v>1</v>
      </c>
      <c r="U69" s="21">
        <v>1</v>
      </c>
      <c r="V69" s="21">
        <v>1</v>
      </c>
      <c r="W69" s="21">
        <v>1</v>
      </c>
      <c r="X69" s="21">
        <v>1</v>
      </c>
      <c r="Y69" s="21">
        <v>1</v>
      </c>
      <c r="Z69" s="22">
        <v>1</v>
      </c>
      <c r="AA69" s="21">
        <v>1</v>
      </c>
      <c r="AB69" s="21">
        <v>1</v>
      </c>
      <c r="AC69" s="21">
        <v>1</v>
      </c>
      <c r="AD69" s="21">
        <v>0</v>
      </c>
      <c r="AE69" s="21">
        <v>0</v>
      </c>
      <c r="AF69" s="21">
        <v>0</v>
      </c>
    </row>
    <row r="70" spans="2:37" x14ac:dyDescent="0.25">
      <c r="C70" s="19" t="s">
        <v>90</v>
      </c>
      <c r="E70" s="20" t="s">
        <v>17</v>
      </c>
      <c r="G70" s="21">
        <v>2</v>
      </c>
      <c r="H70" s="21">
        <v>2</v>
      </c>
      <c r="I70" s="21">
        <v>2</v>
      </c>
      <c r="J70" s="21">
        <v>2</v>
      </c>
      <c r="K70" s="21">
        <v>2</v>
      </c>
      <c r="L70" s="21">
        <v>2</v>
      </c>
      <c r="M70" s="21">
        <v>2</v>
      </c>
      <c r="N70" s="21">
        <v>2</v>
      </c>
      <c r="O70" s="21">
        <v>2</v>
      </c>
      <c r="P70" s="21">
        <v>2</v>
      </c>
      <c r="Q70" s="21">
        <v>2</v>
      </c>
      <c r="R70" s="21">
        <v>2</v>
      </c>
      <c r="S70" s="21">
        <v>2</v>
      </c>
      <c r="T70" s="21">
        <v>2</v>
      </c>
      <c r="U70" s="21">
        <v>2</v>
      </c>
      <c r="V70" s="21">
        <v>2</v>
      </c>
      <c r="W70" s="21">
        <v>2</v>
      </c>
      <c r="X70" s="21">
        <v>2</v>
      </c>
      <c r="Y70" s="21">
        <v>2</v>
      </c>
      <c r="Z70" s="22">
        <v>2</v>
      </c>
      <c r="AA70" s="21">
        <v>2</v>
      </c>
      <c r="AB70" s="21">
        <v>2</v>
      </c>
      <c r="AC70" s="21">
        <v>2</v>
      </c>
      <c r="AD70" s="21">
        <v>0</v>
      </c>
      <c r="AE70" s="21">
        <v>0</v>
      </c>
      <c r="AF70" s="21">
        <v>0</v>
      </c>
    </row>
    <row r="71" spans="2:37" x14ac:dyDescent="0.25">
      <c r="B71" s="18"/>
      <c r="C71" s="19" t="s">
        <v>91</v>
      </c>
      <c r="E71" s="20" t="s">
        <v>15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2">
        <v>2</v>
      </c>
      <c r="AB71" s="21">
        <v>2</v>
      </c>
      <c r="AC71" s="21">
        <v>2</v>
      </c>
      <c r="AD71" s="21">
        <v>0</v>
      </c>
      <c r="AE71" s="21">
        <v>0</v>
      </c>
      <c r="AF71" s="21">
        <v>0</v>
      </c>
    </row>
    <row r="72" spans="2:37" x14ac:dyDescent="0.25">
      <c r="B72" s="21" t="s">
        <v>92</v>
      </c>
      <c r="C72" s="19" t="s">
        <v>93</v>
      </c>
      <c r="E72" s="20" t="s">
        <v>25</v>
      </c>
      <c r="G72" s="21">
        <v>5</v>
      </c>
      <c r="H72" s="21">
        <v>5</v>
      </c>
      <c r="I72" s="21">
        <v>5</v>
      </c>
      <c r="J72" s="21">
        <v>5</v>
      </c>
      <c r="K72" s="21">
        <v>5</v>
      </c>
      <c r="L72" s="21">
        <v>5</v>
      </c>
      <c r="M72" s="21">
        <v>5</v>
      </c>
      <c r="N72" s="21">
        <v>5</v>
      </c>
      <c r="O72" s="21">
        <v>5</v>
      </c>
      <c r="P72" s="21">
        <v>5</v>
      </c>
      <c r="Q72" s="21">
        <v>5</v>
      </c>
      <c r="R72" s="21">
        <v>5</v>
      </c>
      <c r="S72" s="21">
        <v>5</v>
      </c>
      <c r="T72" s="21">
        <v>5</v>
      </c>
      <c r="U72" s="21">
        <v>5</v>
      </c>
      <c r="V72" s="21">
        <v>5</v>
      </c>
      <c r="W72" s="21">
        <v>5</v>
      </c>
      <c r="X72" s="21">
        <v>5</v>
      </c>
      <c r="Y72" s="21">
        <v>5</v>
      </c>
      <c r="Z72" s="21">
        <v>5</v>
      </c>
      <c r="AA72" s="22">
        <v>5</v>
      </c>
      <c r="AB72" s="21">
        <v>5</v>
      </c>
      <c r="AC72" s="21">
        <v>5</v>
      </c>
      <c r="AD72" s="21">
        <v>0</v>
      </c>
      <c r="AE72" s="21">
        <v>0</v>
      </c>
      <c r="AF72" s="21">
        <v>0</v>
      </c>
    </row>
    <row r="73" spans="2:37" x14ac:dyDescent="0.25">
      <c r="C73" s="19" t="s">
        <v>94</v>
      </c>
      <c r="E73" s="20" t="s">
        <v>25</v>
      </c>
      <c r="G73" s="21">
        <v>5</v>
      </c>
      <c r="H73" s="21">
        <v>5</v>
      </c>
      <c r="I73" s="21">
        <v>5</v>
      </c>
      <c r="J73" s="21">
        <v>5</v>
      </c>
      <c r="K73" s="21">
        <v>5</v>
      </c>
      <c r="L73" s="21">
        <v>5</v>
      </c>
      <c r="M73" s="21">
        <v>5</v>
      </c>
      <c r="N73" s="21">
        <v>5</v>
      </c>
      <c r="O73" s="21">
        <v>5</v>
      </c>
      <c r="P73" s="21">
        <v>5</v>
      </c>
      <c r="Q73" s="21">
        <v>5</v>
      </c>
      <c r="R73" s="21">
        <v>5</v>
      </c>
      <c r="S73" s="21">
        <v>5</v>
      </c>
      <c r="T73" s="21">
        <v>5</v>
      </c>
      <c r="U73" s="21">
        <v>5</v>
      </c>
      <c r="V73" s="21">
        <v>5</v>
      </c>
      <c r="W73" s="21">
        <v>5</v>
      </c>
      <c r="X73" s="21">
        <v>5</v>
      </c>
      <c r="Y73" s="21">
        <v>5</v>
      </c>
      <c r="Z73" s="21">
        <v>5</v>
      </c>
      <c r="AA73" s="22">
        <v>5</v>
      </c>
      <c r="AB73" s="21">
        <v>5</v>
      </c>
      <c r="AC73" s="21">
        <v>5</v>
      </c>
      <c r="AD73" s="21">
        <v>5</v>
      </c>
      <c r="AE73" s="21">
        <v>0</v>
      </c>
      <c r="AF73" s="21">
        <v>0</v>
      </c>
    </row>
    <row r="74" spans="2:37" x14ac:dyDescent="0.25">
      <c r="B74" s="21" t="s">
        <v>19</v>
      </c>
      <c r="C74" s="19"/>
      <c r="E74" s="20" t="s">
        <v>12</v>
      </c>
      <c r="G74" s="21">
        <f>SUM(G16:G73)</f>
        <v>137</v>
      </c>
      <c r="I74" s="21">
        <f t="shared" ref="I74:AF74" si="0">SUM(I16:I73)</f>
        <v>137</v>
      </c>
      <c r="J74" s="21">
        <f t="shared" si="0"/>
        <v>132</v>
      </c>
      <c r="K74" s="21">
        <f t="shared" si="0"/>
        <v>127</v>
      </c>
      <c r="L74" s="21">
        <f t="shared" si="0"/>
        <v>119</v>
      </c>
      <c r="M74" s="21">
        <f t="shared" si="0"/>
        <v>115</v>
      </c>
      <c r="N74" s="21">
        <f t="shared" si="0"/>
        <v>105</v>
      </c>
      <c r="O74" s="21">
        <f t="shared" si="0"/>
        <v>100</v>
      </c>
      <c r="P74" s="21">
        <f t="shared" si="0"/>
        <v>96</v>
      </c>
      <c r="Q74" s="21">
        <f t="shared" si="0"/>
        <v>87</v>
      </c>
      <c r="R74" s="21">
        <f t="shared" si="0"/>
        <v>83</v>
      </c>
      <c r="S74" s="21">
        <f t="shared" si="0"/>
        <v>77</v>
      </c>
      <c r="T74" s="21">
        <f t="shared" si="0"/>
        <v>69</v>
      </c>
      <c r="U74" s="21">
        <f t="shared" si="0"/>
        <v>63</v>
      </c>
      <c r="V74" s="21">
        <f t="shared" si="0"/>
        <v>56</v>
      </c>
      <c r="W74" s="21">
        <f t="shared" si="0"/>
        <v>52</v>
      </c>
      <c r="X74" s="21">
        <f t="shared" si="0"/>
        <v>45</v>
      </c>
      <c r="Y74" s="21">
        <f t="shared" si="0"/>
        <v>37</v>
      </c>
      <c r="Z74" s="21">
        <f t="shared" si="0"/>
        <v>33</v>
      </c>
      <c r="AA74" s="21">
        <f t="shared" si="0"/>
        <v>28</v>
      </c>
      <c r="AB74" s="22">
        <f t="shared" si="0"/>
        <v>21</v>
      </c>
      <c r="AC74" s="21">
        <f t="shared" si="0"/>
        <v>15</v>
      </c>
      <c r="AD74" s="21">
        <f t="shared" si="0"/>
        <v>5</v>
      </c>
      <c r="AE74" s="21">
        <f t="shared" si="0"/>
        <v>0</v>
      </c>
      <c r="AF74" s="21">
        <f t="shared" si="0"/>
        <v>0</v>
      </c>
    </row>
    <row r="75" spans="2:37" x14ac:dyDescent="0.25">
      <c r="E75" s="20" t="s">
        <v>13</v>
      </c>
      <c r="G75" s="21">
        <f>SUM(H16:H73)</f>
        <v>137</v>
      </c>
      <c r="I75" s="21">
        <f t="shared" ref="I75:AF75" si="1">SUM(I16:I73)</f>
        <v>137</v>
      </c>
      <c r="J75" s="21">
        <f t="shared" si="1"/>
        <v>132</v>
      </c>
      <c r="K75" s="21">
        <f t="shared" si="1"/>
        <v>127</v>
      </c>
      <c r="L75" s="21">
        <f t="shared" si="1"/>
        <v>119</v>
      </c>
      <c r="M75" s="21">
        <f t="shared" si="1"/>
        <v>115</v>
      </c>
      <c r="N75" s="21">
        <f t="shared" si="1"/>
        <v>105</v>
      </c>
      <c r="O75" s="21">
        <f t="shared" si="1"/>
        <v>100</v>
      </c>
      <c r="P75" s="21">
        <f t="shared" si="1"/>
        <v>96</v>
      </c>
      <c r="Q75" s="21">
        <f t="shared" si="1"/>
        <v>87</v>
      </c>
      <c r="R75" s="21">
        <f t="shared" si="1"/>
        <v>83</v>
      </c>
      <c r="S75" s="21">
        <f t="shared" si="1"/>
        <v>77</v>
      </c>
      <c r="T75" s="21">
        <f t="shared" si="1"/>
        <v>69</v>
      </c>
      <c r="U75" s="21">
        <f t="shared" si="1"/>
        <v>63</v>
      </c>
      <c r="V75" s="21">
        <f t="shared" si="1"/>
        <v>56</v>
      </c>
      <c r="W75" s="21">
        <f t="shared" si="1"/>
        <v>52</v>
      </c>
      <c r="X75" s="21">
        <f t="shared" si="1"/>
        <v>45</v>
      </c>
      <c r="Y75" s="21">
        <f t="shared" si="1"/>
        <v>37</v>
      </c>
      <c r="Z75" s="21">
        <f t="shared" si="1"/>
        <v>33</v>
      </c>
      <c r="AA75" s="21">
        <f t="shared" si="1"/>
        <v>28</v>
      </c>
      <c r="AB75" s="22">
        <f t="shared" si="1"/>
        <v>21</v>
      </c>
      <c r="AC75" s="21">
        <f t="shared" si="1"/>
        <v>15</v>
      </c>
      <c r="AD75" s="21">
        <f t="shared" si="1"/>
        <v>5</v>
      </c>
      <c r="AE75" s="21">
        <f t="shared" si="1"/>
        <v>0</v>
      </c>
      <c r="AF75" s="21">
        <f t="shared" si="1"/>
        <v>0</v>
      </c>
    </row>
    <row r="76" spans="2:37" x14ac:dyDescent="0.25">
      <c r="E76" s="20"/>
      <c r="AA76" s="64"/>
      <c r="AB76" s="65"/>
      <c r="AC76" s="64"/>
      <c r="AD76" s="64"/>
      <c r="AE76" s="64"/>
      <c r="AF76" s="64"/>
      <c r="AG76" s="64"/>
      <c r="AH76" s="64"/>
      <c r="AI76" s="64"/>
      <c r="AJ76" s="64"/>
      <c r="AK76" s="64"/>
    </row>
    <row r="77" spans="2:37" x14ac:dyDescent="0.25">
      <c r="C77" s="19"/>
      <c r="E77" s="20"/>
      <c r="AA77" s="64"/>
      <c r="AB77" s="64"/>
      <c r="AC77" s="65"/>
      <c r="AD77" s="64"/>
      <c r="AE77" s="64"/>
      <c r="AF77" s="64"/>
      <c r="AG77" s="64"/>
      <c r="AH77" s="64"/>
      <c r="AI77" s="64"/>
      <c r="AJ77" s="64"/>
      <c r="AK77" s="64"/>
    </row>
    <row r="78" spans="2:37" x14ac:dyDescent="0.25">
      <c r="C78" s="19"/>
      <c r="E78" s="27"/>
      <c r="AA78" s="64"/>
      <c r="AB78" s="64"/>
      <c r="AC78" s="65"/>
      <c r="AD78" s="64"/>
      <c r="AE78" s="64"/>
      <c r="AF78" s="64"/>
      <c r="AG78" s="64"/>
      <c r="AH78" s="64"/>
      <c r="AI78" s="64"/>
      <c r="AJ78" s="64"/>
      <c r="AK78" s="64"/>
    </row>
    <row r="79" spans="2:37" x14ac:dyDescent="0.25">
      <c r="B79" s="18"/>
      <c r="C79" s="19"/>
      <c r="E79" s="27"/>
      <c r="AA79" s="64"/>
      <c r="AB79" s="64"/>
      <c r="AC79" s="65"/>
      <c r="AD79" s="64"/>
      <c r="AE79" s="64"/>
      <c r="AF79" s="64"/>
      <c r="AG79" s="64"/>
      <c r="AH79" s="64"/>
      <c r="AI79" s="64"/>
      <c r="AJ79" s="64"/>
      <c r="AK79" s="64"/>
    </row>
    <row r="80" spans="2:37" x14ac:dyDescent="0.25">
      <c r="C80" s="19"/>
      <c r="E80" s="27"/>
      <c r="AA80" s="64"/>
      <c r="AB80" s="64"/>
      <c r="AC80" s="65"/>
      <c r="AD80" s="64"/>
      <c r="AE80" s="64"/>
      <c r="AF80" s="64"/>
      <c r="AG80" s="64"/>
      <c r="AH80" s="64"/>
      <c r="AI80" s="64"/>
      <c r="AJ80" s="64"/>
      <c r="AK80" s="64"/>
    </row>
    <row r="81" spans="2:37" x14ac:dyDescent="0.25">
      <c r="C81" s="19"/>
      <c r="E81" s="27"/>
      <c r="AA81" s="64"/>
      <c r="AB81" s="64"/>
      <c r="AC81" s="64"/>
      <c r="AD81" s="65"/>
      <c r="AE81" s="64"/>
      <c r="AF81" s="64"/>
      <c r="AG81" s="64"/>
      <c r="AH81" s="64"/>
      <c r="AI81" s="64"/>
      <c r="AJ81" s="64"/>
      <c r="AK81" s="64"/>
    </row>
    <row r="82" spans="2:37" x14ac:dyDescent="0.25">
      <c r="C82" s="19"/>
      <c r="E82" s="27"/>
      <c r="AA82" s="64"/>
      <c r="AB82" s="64"/>
      <c r="AC82" s="64"/>
      <c r="AD82" s="65"/>
      <c r="AE82" s="64"/>
      <c r="AF82" s="64"/>
      <c r="AG82" s="64"/>
      <c r="AH82" s="64"/>
      <c r="AI82" s="64"/>
      <c r="AJ82" s="64"/>
      <c r="AK82" s="64"/>
    </row>
    <row r="83" spans="2:37" x14ac:dyDescent="0.25">
      <c r="C83" s="19"/>
      <c r="E83" s="27"/>
      <c r="AA83" s="64"/>
      <c r="AB83" s="64"/>
      <c r="AC83" s="64"/>
      <c r="AD83" s="65"/>
      <c r="AE83" s="64"/>
      <c r="AF83" s="64"/>
      <c r="AG83" s="64"/>
      <c r="AH83" s="64"/>
      <c r="AI83" s="64"/>
      <c r="AJ83" s="64"/>
      <c r="AK83" s="64"/>
    </row>
    <row r="84" spans="2:37" x14ac:dyDescent="0.25">
      <c r="E84" s="27"/>
      <c r="AA84" s="64"/>
      <c r="AB84" s="64"/>
      <c r="AC84" s="64"/>
      <c r="AD84" s="65"/>
      <c r="AE84" s="64"/>
      <c r="AF84" s="64"/>
      <c r="AG84" s="64"/>
      <c r="AH84" s="64"/>
      <c r="AI84" s="64"/>
      <c r="AJ84" s="64"/>
      <c r="AK84" s="64"/>
    </row>
    <row r="85" spans="2:37" x14ac:dyDescent="0.25">
      <c r="E85" s="27"/>
      <c r="AA85" s="64"/>
      <c r="AB85" s="64"/>
      <c r="AC85" s="64"/>
      <c r="AD85" s="64"/>
      <c r="AE85" s="65"/>
      <c r="AF85" s="64"/>
      <c r="AG85" s="64"/>
      <c r="AH85" s="64"/>
      <c r="AI85" s="64"/>
      <c r="AJ85" s="64"/>
      <c r="AK85" s="64"/>
    </row>
    <row r="86" spans="2:37" x14ac:dyDescent="0.25">
      <c r="C86" s="19"/>
      <c r="E86" s="27"/>
      <c r="AA86" s="64"/>
      <c r="AB86" s="64"/>
      <c r="AC86" s="64"/>
      <c r="AD86" s="64"/>
      <c r="AE86" s="65"/>
      <c r="AF86" s="64"/>
      <c r="AG86" s="64"/>
      <c r="AH86" s="64"/>
      <c r="AI86" s="64"/>
      <c r="AJ86" s="64"/>
      <c r="AK86" s="64"/>
    </row>
    <row r="87" spans="2:37" x14ac:dyDescent="0.25">
      <c r="B87" s="18"/>
      <c r="C87" s="19"/>
      <c r="E87" s="27"/>
      <c r="AA87" s="64"/>
      <c r="AB87" s="64"/>
      <c r="AC87" s="64"/>
      <c r="AD87" s="64"/>
      <c r="AE87" s="64"/>
      <c r="AF87" s="65"/>
      <c r="AG87" s="64"/>
      <c r="AH87" s="64"/>
      <c r="AI87" s="64"/>
      <c r="AJ87" s="64"/>
      <c r="AK87" s="64"/>
    </row>
    <row r="88" spans="2:37" x14ac:dyDescent="0.25">
      <c r="C88" s="19"/>
      <c r="E88" s="27"/>
      <c r="AA88" s="64"/>
      <c r="AB88" s="64"/>
      <c r="AC88" s="64"/>
      <c r="AD88" s="64"/>
      <c r="AE88" s="64"/>
      <c r="AF88" s="65"/>
      <c r="AG88" s="64"/>
      <c r="AH88" s="64"/>
      <c r="AI88" s="64"/>
      <c r="AJ88" s="64"/>
      <c r="AK88" s="64"/>
    </row>
    <row r="89" spans="2:37" x14ac:dyDescent="0.25">
      <c r="B89" s="28"/>
      <c r="E89" s="29"/>
      <c r="G89" s="29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</row>
    <row r="90" spans="2:37" x14ac:dyDescent="0.25">
      <c r="E90" s="29"/>
      <c r="G90" s="29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</row>
    <row r="91" spans="2:37" x14ac:dyDescent="0.25"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</row>
    <row r="92" spans="2:37" x14ac:dyDescent="0.25"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</row>
    <row r="93" spans="2:37" x14ac:dyDescent="0.25"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20"/>
  <sheetViews>
    <sheetView topLeftCell="A92" zoomScale="70" zoomScaleNormal="70" workbookViewId="0">
      <selection activeCell="AC132" sqref="AC132"/>
    </sheetView>
  </sheetViews>
  <sheetFormatPr defaultColWidth="8.7109375" defaultRowHeight="15" x14ac:dyDescent="0.25"/>
  <cols>
    <col min="1" max="1" width="13.5703125" customWidth="1"/>
    <col min="2" max="2" width="21.140625" customWidth="1"/>
    <col min="3" max="3" width="55.85546875" customWidth="1"/>
    <col min="4" max="4" width="12" customWidth="1"/>
    <col min="5" max="5" width="10.28515625" customWidth="1"/>
    <col min="6" max="6" width="20.140625" customWidth="1"/>
    <col min="7" max="8" width="6.140625" customWidth="1"/>
    <col min="9" max="19" width="6" customWidth="1"/>
    <col min="20" max="20" width="6.140625" customWidth="1"/>
    <col min="21" max="28" width="6" customWidth="1"/>
    <col min="29" max="29" width="6.140625" customWidth="1"/>
  </cols>
  <sheetData>
    <row r="1" spans="1:59" ht="17.25" customHeight="1" x14ac:dyDescent="0.25">
      <c r="A1" s="2" t="s">
        <v>0</v>
      </c>
      <c r="C1" s="30" t="s">
        <v>1</v>
      </c>
      <c r="D1" s="1"/>
      <c r="E1" s="3"/>
      <c r="F1" s="4" t="s">
        <v>95</v>
      </c>
    </row>
    <row r="2" spans="1:59" ht="17.25" customHeight="1" x14ac:dyDescent="0.25">
      <c r="A2" s="2" t="s">
        <v>3</v>
      </c>
      <c r="C2" s="5" t="s">
        <v>96</v>
      </c>
      <c r="D2" s="1"/>
      <c r="E2" s="31"/>
      <c r="F2" s="7" t="s">
        <v>97</v>
      </c>
    </row>
    <row r="3" spans="1:59" ht="17.25" customHeight="1" x14ac:dyDescent="0.25">
      <c r="A3" s="2" t="s">
        <v>6</v>
      </c>
      <c r="C3" s="32">
        <v>46106</v>
      </c>
      <c r="D3" s="1"/>
      <c r="E3" s="6"/>
      <c r="F3" s="7" t="s">
        <v>5</v>
      </c>
    </row>
    <row r="4" spans="1:59" ht="18" customHeight="1" x14ac:dyDescent="0.25">
      <c r="A4" s="2" t="s">
        <v>8</v>
      </c>
      <c r="C4" s="32">
        <v>46126</v>
      </c>
      <c r="D4" s="1"/>
      <c r="E4" s="33"/>
      <c r="F4" s="7" t="s">
        <v>98</v>
      </c>
    </row>
    <row r="5" spans="1:59" ht="18" customHeight="1" x14ac:dyDescent="0.25">
      <c r="A5" s="1"/>
      <c r="B5" s="1"/>
      <c r="C5" s="1"/>
      <c r="D5" s="1"/>
      <c r="E5" s="8"/>
      <c r="F5" s="9" t="s">
        <v>7</v>
      </c>
    </row>
    <row r="6" spans="1:59" ht="17.25" customHeight="1" x14ac:dyDescent="0.25">
      <c r="A6" s="1"/>
      <c r="B6" s="34" t="s">
        <v>99</v>
      </c>
    </row>
    <row r="7" spans="1:59" ht="17.25" customHeight="1" x14ac:dyDescent="0.25">
      <c r="A7" s="1"/>
      <c r="B7" s="11" t="s">
        <v>10</v>
      </c>
      <c r="C7" s="11" t="s">
        <v>11</v>
      </c>
      <c r="D7" s="11" t="s">
        <v>12</v>
      </c>
      <c r="E7" s="11" t="s">
        <v>13</v>
      </c>
    </row>
    <row r="8" spans="1:59" ht="17.25" customHeight="1" x14ac:dyDescent="0.25">
      <c r="A8" s="1"/>
      <c r="B8" s="12">
        <v>1</v>
      </c>
      <c r="C8" s="5" t="s">
        <v>14</v>
      </c>
      <c r="D8" s="5">
        <f ca="1">SUMIF($E$16:$F$75,"Tịnh",$H$16:$H$75)+SUMIF($E$16:$F$75,"All team",$H$16:$H$75)/5+SUMIF($E$16:$F$75,"Sang,Tịnh",$H$16:$H$75)/2+SUMIF($E$16:$F$75,"Hoàng,Tịnh",$H$16:$H$75)/2+SUMIF($E$16:$F$75,"Tịnh,Nhung,Hoàng,Kiệt,Sang",$H$16:$H$75)/5</f>
        <v>17</v>
      </c>
      <c r="E8" s="5">
        <f ca="1">SUMIF($E$16:$F$75,"Tịnh",$H$16:$H$75)+SUMIF($E$16:$F$75,"All team",$H$16:$H$75)/5+SUMIF($E$16:$F$75,"Sang,Tịnh",$H$16:$H$75)/2+SUMIF($E$16:$F$75,"Hoàng,Tịnh",$H$16:$H$75)/2+SUMIF($E$16:$F$75,"Tịnh,Nhung,Hoàng,Kiệt,Sang",$H$16:$H$75)/5</f>
        <v>17</v>
      </c>
    </row>
    <row r="9" spans="1:59" ht="17.25" customHeight="1" x14ac:dyDescent="0.25">
      <c r="A9" s="1"/>
      <c r="B9" s="12">
        <v>2</v>
      </c>
      <c r="C9" s="5" t="s">
        <v>15</v>
      </c>
      <c r="D9" s="5">
        <f ca="1">SUMIF($E$16:$F$75,"Nhung",$H$16:$H$75)+SUMIF($E$16:$F$75,"All team",$H$16:$H$75)/5+SUMIF($E$16:$F$75,"Nhung,Hoàng",$H$16:$H$75)/2+SUMIF($E$16:$F$75,"Nhung,Kiệt",$H$16:$H$75)/2+SUMIF($E$16:$F$75,"Tịnh,Nhung,Hoàng,Kiệt,Sang",$H$16:$H$75)/5</f>
        <v>26</v>
      </c>
      <c r="E9" s="5">
        <f ca="1">SUMIF($E$16:$F$75,"Nhung",$H$16:$H$75)+SUMIF($E$16:$F$75,"All team",$H$16:$H$75)/5+SUMIF($E$16:$F$75,"Nhung,Hoàng",$H$16:$H$75)/2+SUMIF($E$16:$F$75,"Nhung,Kiệt",$H$16:$H$75)/2+SUMIF($E$16:$F$75,"Tịnh,Nhung,Hoàng,Kiệt,Sang",$H$16:$H$75)/5</f>
        <v>26</v>
      </c>
    </row>
    <row r="10" spans="1:59" ht="17.25" customHeight="1" x14ac:dyDescent="0.25">
      <c r="A10" s="1"/>
      <c r="B10" s="12">
        <v>3</v>
      </c>
      <c r="C10" s="5" t="s">
        <v>16</v>
      </c>
      <c r="D10" s="5">
        <f ca="1">SUMIF($E$16:$F$75,"Hoàng",$H$16:$H$75)+SUMIF($E$16:$F$75,"All team",$H$16:$H$75)/5+SUMIF($E$16:$F$75,"Nhung,Hoàng",$H$16:$H$75)/2+SUMIF($E$16:$F$75,"Hoàng,Tịnh",$H$16:$H$75)/2+SUMIF($E$16:$F$75,"Kiệt,Hoàng",$H$16:$H$75)/2+SUMIF($E$16:$F$75,"Tịnh,Nhung,Hoàng,Kiệt,Sang",$H$16:$H$75)/5</f>
        <v>29.5</v>
      </c>
      <c r="E10" s="5">
        <f ca="1">SUMIF($E$16:$F$75,"Hoàng",$H$16:$H$75)+SUMIF($E$16:$F$75,"All team",$H$16:$H$75)/5+SUMIF($E$16:$F$75,"Nhung,Hoàng",$H$16:$H$75)/2+SUMIF($E$16:$F$75,"Hoàng,Tịnh",$H$16:$H$75)/2+SUMIF($E$16:$F$75,"Kiệt,Hoàng",$H$16:$H$75)/2+SUMIF($E$16:$F$75,"Tịnh,Nhung,Hoàng,Kiệt,Sang",$H$16:$H$75)/5</f>
        <v>29.5</v>
      </c>
    </row>
    <row r="11" spans="1:59" ht="17.25" customHeight="1" x14ac:dyDescent="0.25">
      <c r="A11" s="1"/>
      <c r="B11" s="12">
        <v>4</v>
      </c>
      <c r="C11" s="5" t="s">
        <v>17</v>
      </c>
      <c r="D11" s="5">
        <f ca="1">SUMIF($E$16:$F$75,"Kiệt",$H$16:$H$75)+SUMIF($E$16:$F$75,"All team",$H$16:$H$75)/5+SUMIF($E$16:$F$75,"Nhung,Kiệt",$H$16:$H$75)/2+SUMIF($E$16:$F$75,"Kiệt,Hoàng",$H$16:$H$75)/2+SUMIF($E$16:$F$75,"Tịnh,Nhung,Hoàng,Kiệt,Sang",$H$16:$H$75)/5</f>
        <v>33</v>
      </c>
      <c r="E11" s="5">
        <f ca="1">SUMIF($E$16:$F$75,"Kiệt",$H$16:$H$75)+SUMIF($E$16:$F$75,"All team",$H$16:$H$75)/5+SUMIF($E$16:$F$75,"Nhung,Kiệt",$H$16:$H$75)/2+SUMIF($E$16:$F$75,"Kiệt,Hoàng",$H$16:$H$75)/2+SUMIF($E$16:$F$75,"Tịnh,Nhung,Hoàng,Kiệt,Sang",$H$16:$H$75)/5</f>
        <v>33</v>
      </c>
    </row>
    <row r="12" spans="1:59" ht="17.25" customHeight="1" x14ac:dyDescent="0.25">
      <c r="A12" s="1"/>
      <c r="B12" s="12">
        <v>5</v>
      </c>
      <c r="C12" s="5" t="s">
        <v>18</v>
      </c>
      <c r="D12" s="5">
        <f ca="1">SUMIF($E$16:$F$75,"Sang",$H$16:$H$75)+SUMIF($E$16:$F$75,"All team",$H$16:$H$75)/5+SUMIF($E$16:$F$75,"Sang,Tịnh",$H$16:$H$75)/2+SUMIF($E$16:$F$75,"Tịnh,Nhung,Hoàng,Kiệt,Sang",$H$16:$H$75)/5</f>
        <v>17.5</v>
      </c>
      <c r="E12" s="5">
        <f ca="1">SUMIF($E$16:$F$75,"Sang",$H$16:$H$75)+SUMIF($E$16:$F$75,"All team",$H$16:$H$75)/5+SUMIF($E$16:$F$75,"Sang,Tịnh",$H$16:$H$75)/2+SUMIF($E$16:$F$75,"Tịnh,Nhung,Hoàng,Kiệt,Sang",$H$16:$H$75)/5</f>
        <v>17.5</v>
      </c>
    </row>
    <row r="13" spans="1:59" ht="17.25" customHeight="1" x14ac:dyDescent="0.25">
      <c r="A13" s="1"/>
      <c r="B13" s="10" t="s">
        <v>19</v>
      </c>
      <c r="D13" s="13">
        <f ca="1">SUM(D8:D12)</f>
        <v>123</v>
      </c>
      <c r="E13" s="13">
        <f ca="1">SUM(E8:E12)</f>
        <v>123</v>
      </c>
    </row>
    <row r="15" spans="1:59" ht="63.75" customHeight="1" x14ac:dyDescent="0.25">
      <c r="A15" s="35" t="s">
        <v>20</v>
      </c>
      <c r="B15" s="35" t="s">
        <v>21</v>
      </c>
      <c r="C15" s="36" t="s">
        <v>22</v>
      </c>
      <c r="E15" s="36" t="s">
        <v>23</v>
      </c>
      <c r="G15" s="16" t="s">
        <v>12</v>
      </c>
      <c r="H15" s="16" t="s">
        <v>13</v>
      </c>
      <c r="I15" s="17">
        <v>46106</v>
      </c>
      <c r="J15" s="17">
        <v>46107</v>
      </c>
      <c r="K15" s="17">
        <v>46108</v>
      </c>
      <c r="L15" s="17">
        <v>46109</v>
      </c>
      <c r="M15" s="17">
        <v>46110</v>
      </c>
      <c r="N15" s="17">
        <v>46111</v>
      </c>
      <c r="O15" s="17">
        <v>46112</v>
      </c>
      <c r="P15" s="17">
        <v>46113</v>
      </c>
      <c r="Q15" s="17">
        <v>46114</v>
      </c>
      <c r="R15" s="17">
        <v>46115</v>
      </c>
      <c r="S15" s="17">
        <v>46116</v>
      </c>
      <c r="T15" s="17">
        <v>46117</v>
      </c>
      <c r="U15" s="17">
        <v>46118</v>
      </c>
      <c r="V15" s="17">
        <v>46119</v>
      </c>
      <c r="W15" s="17">
        <v>46120</v>
      </c>
      <c r="X15" s="17">
        <v>46121</v>
      </c>
      <c r="Y15" s="17">
        <v>46122</v>
      </c>
      <c r="Z15" s="17">
        <v>46123</v>
      </c>
      <c r="AA15" s="17">
        <v>46124</v>
      </c>
      <c r="AB15" s="17">
        <v>46125</v>
      </c>
      <c r="AC15" s="17">
        <v>46126</v>
      </c>
      <c r="AD15" s="17">
        <v>46127</v>
      </c>
      <c r="AE15" s="37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</row>
    <row r="16" spans="1:59" ht="16.5" customHeight="1" x14ac:dyDescent="0.25">
      <c r="A16" s="18" t="s">
        <v>96</v>
      </c>
      <c r="B16" s="19" t="s">
        <v>24</v>
      </c>
      <c r="E16" s="20" t="s">
        <v>25</v>
      </c>
      <c r="G16" s="21">
        <v>10</v>
      </c>
      <c r="H16" s="21">
        <v>10</v>
      </c>
      <c r="I16" s="21">
        <v>10</v>
      </c>
      <c r="J16" s="22">
        <v>5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</row>
    <row r="17" spans="2:30" ht="16.5" customHeight="1" x14ac:dyDescent="0.25">
      <c r="B17" s="19" t="s">
        <v>100</v>
      </c>
      <c r="E17" s="20" t="s">
        <v>101</v>
      </c>
      <c r="G17" s="21">
        <v>2</v>
      </c>
      <c r="H17" s="21">
        <v>2</v>
      </c>
      <c r="I17" s="21">
        <v>2</v>
      </c>
      <c r="J17" s="21">
        <v>2</v>
      </c>
      <c r="K17" s="22">
        <v>2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</row>
    <row r="18" spans="2:30" ht="16.5" customHeight="1" x14ac:dyDescent="0.25">
      <c r="B18" s="20" t="s">
        <v>27</v>
      </c>
      <c r="E18" s="20" t="s">
        <v>84</v>
      </c>
      <c r="G18" s="21">
        <v>4</v>
      </c>
      <c r="H18" s="21">
        <v>4</v>
      </c>
      <c r="I18" s="21">
        <v>4</v>
      </c>
      <c r="J18" s="21">
        <v>4</v>
      </c>
      <c r="K18" s="25">
        <v>4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</row>
    <row r="19" spans="2:30" ht="16.5" customHeight="1" x14ac:dyDescent="0.25">
      <c r="B19" s="19" t="s">
        <v>29</v>
      </c>
      <c r="C19" t="s">
        <v>102</v>
      </c>
      <c r="E19" s="20" t="s">
        <v>15</v>
      </c>
      <c r="G19" s="21">
        <v>2</v>
      </c>
      <c r="H19" s="21">
        <v>2</v>
      </c>
      <c r="I19" s="21">
        <v>2</v>
      </c>
      <c r="J19" s="21">
        <v>2</v>
      </c>
      <c r="K19" s="21">
        <v>2</v>
      </c>
      <c r="L19" s="22">
        <v>2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</row>
    <row r="20" spans="2:30" ht="17.25" customHeight="1" x14ac:dyDescent="0.25">
      <c r="B20" s="18"/>
      <c r="C20" s="19" t="s">
        <v>103</v>
      </c>
      <c r="E20" s="20" t="s">
        <v>15</v>
      </c>
      <c r="G20" s="21">
        <v>2</v>
      </c>
      <c r="H20" s="21">
        <v>2</v>
      </c>
      <c r="I20" s="21">
        <v>2</v>
      </c>
      <c r="J20" s="21">
        <v>2</v>
      </c>
      <c r="K20" s="21">
        <v>2</v>
      </c>
      <c r="L20" s="21">
        <v>2</v>
      </c>
      <c r="M20" s="22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</row>
    <row r="21" spans="2:30" ht="16.5" customHeight="1" x14ac:dyDescent="0.25">
      <c r="C21" s="19" t="s">
        <v>104</v>
      </c>
      <c r="E21" s="20" t="s">
        <v>17</v>
      </c>
      <c r="G21" s="21">
        <v>2</v>
      </c>
      <c r="H21" s="21">
        <v>2</v>
      </c>
      <c r="I21" s="21">
        <v>2</v>
      </c>
      <c r="J21" s="21">
        <v>2</v>
      </c>
      <c r="K21" s="21">
        <v>2</v>
      </c>
      <c r="L21" s="21">
        <v>2</v>
      </c>
      <c r="M21" s="22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</row>
    <row r="22" spans="2:30" ht="16.5" customHeight="1" x14ac:dyDescent="0.25">
      <c r="C22" s="19" t="s">
        <v>105</v>
      </c>
      <c r="E22" s="20" t="s">
        <v>17</v>
      </c>
      <c r="G22" s="21">
        <v>2</v>
      </c>
      <c r="H22" s="21">
        <v>2</v>
      </c>
      <c r="I22" s="21">
        <v>2</v>
      </c>
      <c r="J22" s="21">
        <v>2</v>
      </c>
      <c r="K22" s="21">
        <v>2</v>
      </c>
      <c r="L22" s="21">
        <v>2</v>
      </c>
      <c r="M22" s="22">
        <v>2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</row>
    <row r="23" spans="2:30" ht="16.5" customHeight="1" x14ac:dyDescent="0.25">
      <c r="C23" s="19" t="s">
        <v>106</v>
      </c>
      <c r="E23" s="20" t="s">
        <v>16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2">
        <v>1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</row>
    <row r="24" spans="2:30" ht="16.5" customHeight="1" x14ac:dyDescent="0.25">
      <c r="C24" s="19" t="s">
        <v>107</v>
      </c>
      <c r="E24" s="20" t="s">
        <v>16</v>
      </c>
      <c r="G24" s="21">
        <v>1</v>
      </c>
      <c r="H24" s="21">
        <v>1</v>
      </c>
      <c r="I24" s="21">
        <v>1</v>
      </c>
      <c r="J24" s="21">
        <v>1</v>
      </c>
      <c r="K24" s="21">
        <v>1</v>
      </c>
      <c r="L24" s="21">
        <v>1</v>
      </c>
      <c r="M24" s="21">
        <v>1</v>
      </c>
      <c r="N24" s="22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</row>
    <row r="25" spans="2:30" ht="16.5" customHeight="1" x14ac:dyDescent="0.25">
      <c r="C25" s="19" t="s">
        <v>108</v>
      </c>
      <c r="E25" s="20" t="s">
        <v>14</v>
      </c>
      <c r="G25" s="21">
        <v>1</v>
      </c>
      <c r="H25" s="21">
        <v>1</v>
      </c>
      <c r="I25" s="21">
        <v>1</v>
      </c>
      <c r="J25" s="21">
        <v>1</v>
      </c>
      <c r="K25" s="21">
        <v>1</v>
      </c>
      <c r="L25" s="21">
        <v>1</v>
      </c>
      <c r="M25" s="21">
        <v>1</v>
      </c>
      <c r="N25" s="22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</row>
    <row r="26" spans="2:30" ht="16.5" customHeight="1" x14ac:dyDescent="0.25">
      <c r="C26" s="21" t="s">
        <v>109</v>
      </c>
      <c r="E26" s="20" t="s">
        <v>18</v>
      </c>
      <c r="G26" s="21">
        <v>2</v>
      </c>
      <c r="H26" s="21">
        <v>2</v>
      </c>
      <c r="I26" s="21">
        <v>2</v>
      </c>
      <c r="J26" s="21">
        <v>2</v>
      </c>
      <c r="K26" s="21">
        <v>2</v>
      </c>
      <c r="L26" s="21">
        <v>2</v>
      </c>
      <c r="M26" s="21">
        <v>2</v>
      </c>
      <c r="N26" s="22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</row>
    <row r="27" spans="2:30" ht="16.5" customHeight="1" x14ac:dyDescent="0.25">
      <c r="C27" s="19" t="s">
        <v>110</v>
      </c>
      <c r="E27" s="20" t="s">
        <v>25</v>
      </c>
      <c r="G27" s="21">
        <v>5</v>
      </c>
      <c r="H27" s="21">
        <v>5</v>
      </c>
      <c r="I27" s="21">
        <v>5</v>
      </c>
      <c r="J27" s="21">
        <v>5</v>
      </c>
      <c r="K27" s="21">
        <v>5</v>
      </c>
      <c r="L27" s="21">
        <v>5</v>
      </c>
      <c r="M27" s="21">
        <v>5</v>
      </c>
      <c r="N27" s="22">
        <v>5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</row>
    <row r="28" spans="2:30" ht="16.5" customHeight="1" x14ac:dyDescent="0.25">
      <c r="B28" t="s">
        <v>39</v>
      </c>
      <c r="C28" s="21" t="s">
        <v>111</v>
      </c>
      <c r="E28" s="20" t="s">
        <v>15</v>
      </c>
      <c r="G28" s="21">
        <v>1</v>
      </c>
      <c r="H28" s="21">
        <v>1</v>
      </c>
      <c r="I28" s="21">
        <v>1</v>
      </c>
      <c r="J28" s="21">
        <v>1</v>
      </c>
      <c r="K28" s="21">
        <v>1</v>
      </c>
      <c r="L28" s="21">
        <v>1</v>
      </c>
      <c r="M28" s="21">
        <v>1</v>
      </c>
      <c r="N28" s="22">
        <v>1</v>
      </c>
      <c r="O28" s="21">
        <v>1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</row>
    <row r="29" spans="2:30" ht="16.5" customHeight="1" x14ac:dyDescent="0.25">
      <c r="C29" s="19" t="s">
        <v>112</v>
      </c>
      <c r="E29" s="20" t="s">
        <v>15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2">
        <v>1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</row>
    <row r="30" spans="2:30" ht="16.5" customHeight="1" x14ac:dyDescent="0.25">
      <c r="C30" s="20" t="s">
        <v>113</v>
      </c>
      <c r="E30" s="20" t="s">
        <v>17</v>
      </c>
      <c r="G30" s="21">
        <v>2</v>
      </c>
      <c r="H30" s="21">
        <v>2</v>
      </c>
      <c r="I30" s="21">
        <v>2</v>
      </c>
      <c r="J30" s="21">
        <v>2</v>
      </c>
      <c r="K30" s="21">
        <v>2</v>
      </c>
      <c r="L30" s="21">
        <v>2</v>
      </c>
      <c r="M30" s="21">
        <v>2</v>
      </c>
      <c r="N30" s="39">
        <v>2</v>
      </c>
      <c r="O30" s="25">
        <v>2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</row>
    <row r="31" spans="2:30" ht="16.5" customHeight="1" x14ac:dyDescent="0.25">
      <c r="B31" s="18"/>
      <c r="C31" s="19" t="s">
        <v>114</v>
      </c>
      <c r="E31" s="20" t="s">
        <v>17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2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</row>
    <row r="32" spans="2:30" ht="16.5" customHeight="1" x14ac:dyDescent="0.25">
      <c r="C32" s="19" t="s">
        <v>115</v>
      </c>
      <c r="E32" s="20" t="s">
        <v>16</v>
      </c>
      <c r="G32" s="21">
        <v>1</v>
      </c>
      <c r="H32" s="21">
        <v>1</v>
      </c>
      <c r="I32" s="21">
        <v>1</v>
      </c>
      <c r="J32" s="21">
        <v>1</v>
      </c>
      <c r="K32" s="21">
        <v>1</v>
      </c>
      <c r="L32" s="21">
        <v>1</v>
      </c>
      <c r="M32" s="21">
        <v>1</v>
      </c>
      <c r="N32" s="21">
        <v>1</v>
      </c>
      <c r="O32" s="21">
        <v>1</v>
      </c>
      <c r="P32" s="22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</row>
    <row r="33" spans="2:30" ht="16.5" customHeight="1" x14ac:dyDescent="0.25">
      <c r="C33" s="20" t="s">
        <v>116</v>
      </c>
      <c r="E33" s="20" t="s">
        <v>16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39">
        <v>1</v>
      </c>
      <c r="P33" s="26">
        <v>1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</row>
    <row r="34" spans="2:30" ht="16.5" customHeight="1" x14ac:dyDescent="0.25">
      <c r="C34" s="19" t="s">
        <v>117</v>
      </c>
      <c r="E34" s="20" t="s">
        <v>14</v>
      </c>
      <c r="G34" s="21">
        <v>1</v>
      </c>
      <c r="H34" s="21">
        <v>1</v>
      </c>
      <c r="I34" s="21">
        <v>1</v>
      </c>
      <c r="J34" s="21">
        <v>1</v>
      </c>
      <c r="K34" s="21">
        <v>1</v>
      </c>
      <c r="L34" s="21">
        <v>1</v>
      </c>
      <c r="M34" s="21">
        <v>1</v>
      </c>
      <c r="N34" s="21">
        <v>1</v>
      </c>
      <c r="O34" s="21">
        <v>1</v>
      </c>
      <c r="P34" s="22">
        <v>1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</row>
    <row r="35" spans="2:30" ht="16.5" customHeight="1" x14ac:dyDescent="0.25">
      <c r="C35" s="19" t="s">
        <v>118</v>
      </c>
      <c r="E35" s="20" t="s">
        <v>18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2">
        <v>1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</row>
    <row r="36" spans="2:30" ht="16.5" customHeight="1" x14ac:dyDescent="0.25">
      <c r="C36" s="19" t="s">
        <v>119</v>
      </c>
      <c r="E36" s="20" t="s">
        <v>25</v>
      </c>
      <c r="G36" s="21">
        <v>7</v>
      </c>
      <c r="H36" s="21">
        <v>7</v>
      </c>
      <c r="I36" s="21">
        <v>7</v>
      </c>
      <c r="J36" s="21">
        <v>7</v>
      </c>
      <c r="K36" s="21">
        <v>7</v>
      </c>
      <c r="L36" s="21">
        <v>7</v>
      </c>
      <c r="M36" s="21">
        <v>7</v>
      </c>
      <c r="N36" s="21">
        <v>7</v>
      </c>
      <c r="O36" s="21">
        <v>7</v>
      </c>
      <c r="P36" s="21">
        <v>7</v>
      </c>
      <c r="Q36" s="22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</row>
    <row r="37" spans="2:30" ht="16.5" customHeight="1" x14ac:dyDescent="0.25">
      <c r="B37" t="s">
        <v>49</v>
      </c>
      <c r="C37" s="19" t="s">
        <v>120</v>
      </c>
      <c r="E37" s="20" t="s">
        <v>16</v>
      </c>
      <c r="G37" s="21">
        <v>2</v>
      </c>
      <c r="H37" s="21">
        <v>2</v>
      </c>
      <c r="I37" s="21">
        <v>2</v>
      </c>
      <c r="J37" s="21">
        <v>2</v>
      </c>
      <c r="K37" s="21">
        <v>2</v>
      </c>
      <c r="L37" s="21">
        <v>2</v>
      </c>
      <c r="M37" s="21">
        <v>2</v>
      </c>
      <c r="N37" s="21">
        <v>2</v>
      </c>
      <c r="O37" s="21">
        <v>2</v>
      </c>
      <c r="P37" s="21">
        <v>2</v>
      </c>
      <c r="Q37" s="22">
        <v>2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</row>
    <row r="38" spans="2:30" ht="16.5" customHeight="1" x14ac:dyDescent="0.25">
      <c r="C38" s="19" t="s">
        <v>121</v>
      </c>
      <c r="E38" s="20" t="s">
        <v>16</v>
      </c>
      <c r="G38" s="21">
        <v>2</v>
      </c>
      <c r="H38" s="21">
        <v>2</v>
      </c>
      <c r="I38" s="21">
        <v>2</v>
      </c>
      <c r="J38" s="21">
        <v>2</v>
      </c>
      <c r="K38" s="21">
        <v>2</v>
      </c>
      <c r="L38" s="21">
        <v>2</v>
      </c>
      <c r="M38" s="21">
        <v>2</v>
      </c>
      <c r="N38" s="21">
        <v>2</v>
      </c>
      <c r="O38" s="21">
        <v>2</v>
      </c>
      <c r="P38" s="21">
        <v>2</v>
      </c>
      <c r="Q38" s="22">
        <v>2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</row>
    <row r="39" spans="2:30" ht="16.5" customHeight="1" x14ac:dyDescent="0.25">
      <c r="C39" s="19" t="s">
        <v>122</v>
      </c>
      <c r="E39" s="20" t="s">
        <v>15</v>
      </c>
      <c r="G39" s="21">
        <v>2</v>
      </c>
      <c r="H39" s="21">
        <v>2</v>
      </c>
      <c r="I39" s="21">
        <v>2</v>
      </c>
      <c r="J39" s="21">
        <v>2</v>
      </c>
      <c r="K39" s="21">
        <v>2</v>
      </c>
      <c r="L39" s="21">
        <v>2</v>
      </c>
      <c r="M39" s="21">
        <v>2</v>
      </c>
      <c r="N39" s="21">
        <v>2</v>
      </c>
      <c r="O39" s="21">
        <v>2</v>
      </c>
      <c r="P39" s="21">
        <v>2</v>
      </c>
      <c r="Q39" s="22">
        <v>2</v>
      </c>
      <c r="R39" s="21">
        <v>2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</row>
    <row r="40" spans="2:30" ht="16.5" customHeight="1" x14ac:dyDescent="0.25">
      <c r="C40" s="19" t="s">
        <v>123</v>
      </c>
      <c r="E40" s="20" t="s">
        <v>15</v>
      </c>
      <c r="G40" s="21">
        <v>3</v>
      </c>
      <c r="H40" s="21">
        <v>3</v>
      </c>
      <c r="I40" s="21">
        <v>3</v>
      </c>
      <c r="J40" s="21">
        <v>3</v>
      </c>
      <c r="K40" s="21">
        <v>3</v>
      </c>
      <c r="L40" s="21">
        <v>3</v>
      </c>
      <c r="M40" s="21">
        <v>3</v>
      </c>
      <c r="N40" s="21">
        <v>3</v>
      </c>
      <c r="O40" s="21">
        <v>3</v>
      </c>
      <c r="P40" s="21">
        <v>3</v>
      </c>
      <c r="Q40" s="22">
        <v>3</v>
      </c>
      <c r="R40" s="21">
        <v>3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</row>
    <row r="41" spans="2:30" ht="16.5" customHeight="1" x14ac:dyDescent="0.25">
      <c r="C41" s="19" t="s">
        <v>124</v>
      </c>
      <c r="E41" s="20" t="s">
        <v>17</v>
      </c>
      <c r="G41" s="21">
        <v>2</v>
      </c>
      <c r="H41" s="21">
        <v>2</v>
      </c>
      <c r="I41" s="21">
        <v>2</v>
      </c>
      <c r="J41" s="21">
        <v>2</v>
      </c>
      <c r="K41" s="21">
        <v>2</v>
      </c>
      <c r="L41" s="21">
        <v>2</v>
      </c>
      <c r="M41" s="21">
        <v>2</v>
      </c>
      <c r="N41" s="21">
        <v>2</v>
      </c>
      <c r="O41" s="21">
        <v>2</v>
      </c>
      <c r="P41" s="21">
        <v>2</v>
      </c>
      <c r="Q41" s="21">
        <v>2</v>
      </c>
      <c r="R41" s="22">
        <v>2</v>
      </c>
      <c r="S41" s="21">
        <v>2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</row>
    <row r="42" spans="2:30" ht="16.5" customHeight="1" x14ac:dyDescent="0.25">
      <c r="C42" s="20" t="s">
        <v>125</v>
      </c>
      <c r="E42" s="20" t="s">
        <v>17</v>
      </c>
      <c r="G42" s="21">
        <v>2</v>
      </c>
      <c r="H42" s="21">
        <v>2</v>
      </c>
      <c r="I42" s="21">
        <v>2</v>
      </c>
      <c r="J42" s="21">
        <v>2</v>
      </c>
      <c r="K42" s="21">
        <v>2</v>
      </c>
      <c r="L42" s="21">
        <v>2</v>
      </c>
      <c r="M42" s="21">
        <v>2</v>
      </c>
      <c r="N42" s="21">
        <v>2</v>
      </c>
      <c r="O42" s="21">
        <v>2</v>
      </c>
      <c r="P42" s="21">
        <v>2</v>
      </c>
      <c r="Q42" s="39">
        <v>2</v>
      </c>
      <c r="R42" s="25">
        <v>2</v>
      </c>
      <c r="S42" s="21">
        <v>2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</row>
    <row r="43" spans="2:30" ht="16.5" customHeight="1" x14ac:dyDescent="0.25">
      <c r="B43" s="18"/>
      <c r="C43" s="19" t="s">
        <v>126</v>
      </c>
      <c r="E43" s="20" t="s">
        <v>17</v>
      </c>
      <c r="G43" s="21">
        <v>2</v>
      </c>
      <c r="H43" s="21">
        <v>2</v>
      </c>
      <c r="I43" s="21">
        <v>2</v>
      </c>
      <c r="J43" s="21">
        <v>2</v>
      </c>
      <c r="K43" s="21">
        <v>2</v>
      </c>
      <c r="L43" s="21">
        <v>2</v>
      </c>
      <c r="M43" s="21">
        <v>2</v>
      </c>
      <c r="N43" s="21">
        <v>2</v>
      </c>
      <c r="O43" s="21">
        <v>2</v>
      </c>
      <c r="P43" s="21">
        <v>2</v>
      </c>
      <c r="Q43" s="21">
        <v>2</v>
      </c>
      <c r="R43" s="21">
        <v>2</v>
      </c>
      <c r="S43" s="22">
        <v>2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</row>
    <row r="44" spans="2:30" ht="16.5" customHeight="1" x14ac:dyDescent="0.25">
      <c r="C44" s="20" t="s">
        <v>127</v>
      </c>
      <c r="E44" s="20" t="s">
        <v>17</v>
      </c>
      <c r="G44" s="21">
        <v>3</v>
      </c>
      <c r="H44" s="21">
        <v>3</v>
      </c>
      <c r="I44" s="21">
        <v>3</v>
      </c>
      <c r="J44" s="21">
        <v>3</v>
      </c>
      <c r="K44" s="21">
        <v>3</v>
      </c>
      <c r="L44" s="21">
        <v>3</v>
      </c>
      <c r="M44" s="21">
        <v>3</v>
      </c>
      <c r="N44" s="21">
        <v>3</v>
      </c>
      <c r="O44" s="21">
        <v>3</v>
      </c>
      <c r="P44" s="21">
        <v>3</v>
      </c>
      <c r="Q44" s="21">
        <v>3</v>
      </c>
      <c r="R44" s="39">
        <v>3</v>
      </c>
      <c r="S44" s="25">
        <v>3</v>
      </c>
      <c r="T44" s="21">
        <v>3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</row>
    <row r="45" spans="2:30" ht="16.5" customHeight="1" x14ac:dyDescent="0.25">
      <c r="C45" s="19" t="s">
        <v>128</v>
      </c>
      <c r="E45" s="20" t="s">
        <v>16</v>
      </c>
      <c r="G45" s="21">
        <v>2</v>
      </c>
      <c r="H45" s="21">
        <v>2</v>
      </c>
      <c r="I45" s="21">
        <v>2</v>
      </c>
      <c r="J45" s="21">
        <v>2</v>
      </c>
      <c r="K45" s="21">
        <v>2</v>
      </c>
      <c r="L45" s="21">
        <v>2</v>
      </c>
      <c r="M45" s="21">
        <v>2</v>
      </c>
      <c r="N45" s="21">
        <v>2</v>
      </c>
      <c r="O45" s="21">
        <v>2</v>
      </c>
      <c r="P45" s="21">
        <v>2</v>
      </c>
      <c r="Q45" s="21">
        <v>2</v>
      </c>
      <c r="R45" s="21">
        <v>2</v>
      </c>
      <c r="S45" s="22">
        <v>2</v>
      </c>
      <c r="T45" s="21">
        <v>2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</row>
    <row r="46" spans="2:30" ht="16.5" customHeight="1" x14ac:dyDescent="0.25">
      <c r="C46" s="19" t="s">
        <v>129</v>
      </c>
      <c r="E46" s="20" t="s">
        <v>16</v>
      </c>
      <c r="G46" s="21">
        <v>2</v>
      </c>
      <c r="H46" s="21">
        <v>2</v>
      </c>
      <c r="I46" s="21">
        <v>2</v>
      </c>
      <c r="J46" s="21">
        <v>2</v>
      </c>
      <c r="K46" s="21">
        <v>2</v>
      </c>
      <c r="L46" s="21">
        <v>2</v>
      </c>
      <c r="M46" s="21">
        <v>2</v>
      </c>
      <c r="N46" s="21">
        <v>2</v>
      </c>
      <c r="O46" s="21">
        <v>2</v>
      </c>
      <c r="P46" s="21">
        <v>2</v>
      </c>
      <c r="Q46" s="21">
        <v>2</v>
      </c>
      <c r="R46" s="21">
        <v>2</v>
      </c>
      <c r="S46" s="22">
        <v>2</v>
      </c>
      <c r="T46" s="21">
        <v>2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</row>
    <row r="47" spans="2:30" ht="16.5" customHeight="1" x14ac:dyDescent="0.25">
      <c r="C47" s="19" t="s">
        <v>130</v>
      </c>
      <c r="E47" s="20" t="s">
        <v>16</v>
      </c>
      <c r="G47" s="21">
        <v>1</v>
      </c>
      <c r="H47" s="21">
        <v>1</v>
      </c>
      <c r="I47" s="21">
        <v>1</v>
      </c>
      <c r="J47" s="21">
        <v>1</v>
      </c>
      <c r="K47" s="21">
        <v>1</v>
      </c>
      <c r="L47" s="21">
        <v>1</v>
      </c>
      <c r="M47" s="21">
        <v>1</v>
      </c>
      <c r="N47" s="21">
        <v>1</v>
      </c>
      <c r="O47" s="21">
        <v>1</v>
      </c>
      <c r="P47" s="21">
        <v>1</v>
      </c>
      <c r="Q47" s="21">
        <v>1</v>
      </c>
      <c r="R47" s="21">
        <v>1</v>
      </c>
      <c r="S47" s="21">
        <v>1</v>
      </c>
      <c r="T47" s="22">
        <v>1</v>
      </c>
      <c r="U47" s="21">
        <v>1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</row>
    <row r="48" spans="2:30" ht="16.5" customHeight="1" x14ac:dyDescent="0.25">
      <c r="C48" s="40" t="s">
        <v>131</v>
      </c>
      <c r="E48" s="20" t="s">
        <v>16</v>
      </c>
      <c r="G48" s="21">
        <v>2</v>
      </c>
      <c r="H48" s="21">
        <v>2</v>
      </c>
      <c r="I48" s="21">
        <v>2</v>
      </c>
      <c r="J48" s="21">
        <v>2</v>
      </c>
      <c r="K48" s="21">
        <v>2</v>
      </c>
      <c r="L48" s="21">
        <v>2</v>
      </c>
      <c r="M48" s="21">
        <v>2</v>
      </c>
      <c r="N48" s="21">
        <v>2</v>
      </c>
      <c r="O48" s="21">
        <v>2</v>
      </c>
      <c r="P48" s="21">
        <v>2</v>
      </c>
      <c r="Q48" s="21">
        <v>2</v>
      </c>
      <c r="R48" s="21">
        <v>2</v>
      </c>
      <c r="S48" s="39">
        <v>2</v>
      </c>
      <c r="T48" s="26">
        <v>2</v>
      </c>
      <c r="U48" s="21">
        <v>2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</row>
    <row r="49" spans="2:30" ht="16.5" customHeight="1" x14ac:dyDescent="0.25">
      <c r="C49" s="19" t="s">
        <v>132</v>
      </c>
      <c r="E49" s="20" t="s">
        <v>14</v>
      </c>
      <c r="G49" s="21">
        <v>2</v>
      </c>
      <c r="H49" s="21">
        <v>2</v>
      </c>
      <c r="I49" s="21">
        <v>2</v>
      </c>
      <c r="J49" s="21">
        <v>2</v>
      </c>
      <c r="K49" s="21">
        <v>2</v>
      </c>
      <c r="L49" s="21">
        <v>2</v>
      </c>
      <c r="M49" s="21">
        <v>2</v>
      </c>
      <c r="N49" s="21">
        <v>2</v>
      </c>
      <c r="O49" s="21">
        <v>2</v>
      </c>
      <c r="P49" s="21">
        <v>2</v>
      </c>
      <c r="Q49" s="21">
        <v>2</v>
      </c>
      <c r="R49" s="21">
        <v>2</v>
      </c>
      <c r="S49" s="21">
        <v>2</v>
      </c>
      <c r="T49" s="22">
        <v>2</v>
      </c>
      <c r="U49" s="21">
        <v>2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</row>
    <row r="50" spans="2:30" ht="16.5" customHeight="1" x14ac:dyDescent="0.25">
      <c r="C50" s="19" t="s">
        <v>133</v>
      </c>
      <c r="E50" s="20" t="s">
        <v>14</v>
      </c>
      <c r="G50" s="21">
        <v>2</v>
      </c>
      <c r="H50" s="21">
        <v>2</v>
      </c>
      <c r="I50" s="21">
        <v>2</v>
      </c>
      <c r="J50" s="21">
        <v>2</v>
      </c>
      <c r="K50" s="21">
        <v>2</v>
      </c>
      <c r="L50" s="21">
        <v>2</v>
      </c>
      <c r="M50" s="21">
        <v>2</v>
      </c>
      <c r="N50" s="21">
        <v>2</v>
      </c>
      <c r="O50" s="21">
        <v>2</v>
      </c>
      <c r="P50" s="21">
        <v>2</v>
      </c>
      <c r="Q50" s="21">
        <v>2</v>
      </c>
      <c r="R50" s="21">
        <v>2</v>
      </c>
      <c r="S50" s="21">
        <v>2</v>
      </c>
      <c r="T50" s="22">
        <v>2</v>
      </c>
      <c r="U50" s="21">
        <v>2</v>
      </c>
      <c r="V50" s="21">
        <v>2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</row>
    <row r="51" spans="2:30" ht="16.5" customHeight="1" x14ac:dyDescent="0.25">
      <c r="C51" s="19" t="s">
        <v>134</v>
      </c>
      <c r="E51" s="20" t="s">
        <v>18</v>
      </c>
      <c r="G51" s="21">
        <v>2</v>
      </c>
      <c r="H51" s="21">
        <v>2</v>
      </c>
      <c r="I51" s="21">
        <v>2</v>
      </c>
      <c r="J51" s="21">
        <v>2</v>
      </c>
      <c r="K51" s="21">
        <v>2</v>
      </c>
      <c r="L51" s="21">
        <v>2</v>
      </c>
      <c r="M51" s="21">
        <v>2</v>
      </c>
      <c r="N51" s="21">
        <v>2</v>
      </c>
      <c r="O51" s="21">
        <v>2</v>
      </c>
      <c r="P51" s="21">
        <v>2</v>
      </c>
      <c r="Q51" s="21">
        <v>2</v>
      </c>
      <c r="R51" s="21">
        <v>2</v>
      </c>
      <c r="S51" s="21">
        <v>2</v>
      </c>
      <c r="T51" s="21">
        <v>2</v>
      </c>
      <c r="U51" s="22">
        <v>2</v>
      </c>
      <c r="V51" s="21">
        <v>2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</row>
    <row r="52" spans="2:30" ht="16.5" customHeight="1" x14ac:dyDescent="0.25">
      <c r="C52" s="19" t="s">
        <v>135</v>
      </c>
      <c r="E52" s="20" t="s">
        <v>18</v>
      </c>
      <c r="G52" s="21">
        <v>2</v>
      </c>
      <c r="H52" s="21">
        <v>2</v>
      </c>
      <c r="I52" s="21">
        <v>2</v>
      </c>
      <c r="J52" s="21">
        <v>2</v>
      </c>
      <c r="K52" s="21">
        <v>2</v>
      </c>
      <c r="L52" s="21">
        <v>2</v>
      </c>
      <c r="M52" s="21">
        <v>2</v>
      </c>
      <c r="N52" s="21">
        <v>2</v>
      </c>
      <c r="O52" s="21">
        <v>2</v>
      </c>
      <c r="P52" s="21">
        <v>2</v>
      </c>
      <c r="Q52" s="21">
        <v>2</v>
      </c>
      <c r="R52" s="21">
        <v>2</v>
      </c>
      <c r="S52" s="21">
        <v>2</v>
      </c>
      <c r="T52" s="21">
        <v>2</v>
      </c>
      <c r="U52" s="22">
        <v>2</v>
      </c>
      <c r="V52" s="21">
        <v>2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</row>
    <row r="53" spans="2:30" ht="16.5" customHeight="1" x14ac:dyDescent="0.25">
      <c r="C53" s="19" t="s">
        <v>64</v>
      </c>
      <c r="E53" s="20" t="s">
        <v>65</v>
      </c>
      <c r="G53" s="21">
        <v>8</v>
      </c>
      <c r="H53" s="21">
        <v>8</v>
      </c>
      <c r="I53" s="21">
        <v>8</v>
      </c>
      <c r="J53" s="21">
        <v>8</v>
      </c>
      <c r="K53" s="21">
        <v>8</v>
      </c>
      <c r="L53" s="21">
        <v>8</v>
      </c>
      <c r="M53" s="21">
        <v>8</v>
      </c>
      <c r="N53" s="21">
        <v>8</v>
      </c>
      <c r="O53" s="21">
        <v>8</v>
      </c>
      <c r="P53" s="21">
        <v>8</v>
      </c>
      <c r="Q53" s="21">
        <v>8</v>
      </c>
      <c r="R53" s="21">
        <v>8</v>
      </c>
      <c r="S53" s="21">
        <v>8</v>
      </c>
      <c r="T53" s="21">
        <v>8</v>
      </c>
      <c r="U53" s="21">
        <v>8</v>
      </c>
      <c r="V53" s="22">
        <v>8</v>
      </c>
      <c r="W53" s="21">
        <v>4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</row>
    <row r="54" spans="2:30" ht="16.5" customHeight="1" x14ac:dyDescent="0.25">
      <c r="B54" t="s">
        <v>66</v>
      </c>
      <c r="C54" s="20" t="s">
        <v>136</v>
      </c>
      <c r="E54" s="20" t="s">
        <v>15</v>
      </c>
      <c r="G54" s="21">
        <v>1</v>
      </c>
      <c r="H54" s="21">
        <v>1</v>
      </c>
      <c r="I54" s="21">
        <v>1</v>
      </c>
      <c r="J54" s="21">
        <v>1</v>
      </c>
      <c r="K54" s="21">
        <v>1</v>
      </c>
      <c r="L54" s="21">
        <v>1</v>
      </c>
      <c r="M54" s="21">
        <v>1</v>
      </c>
      <c r="N54" s="21">
        <v>1</v>
      </c>
      <c r="O54" s="21">
        <v>1</v>
      </c>
      <c r="P54" s="21">
        <v>1</v>
      </c>
      <c r="Q54" s="21">
        <v>1</v>
      </c>
      <c r="R54" s="21">
        <v>1</v>
      </c>
      <c r="S54" s="21">
        <v>1</v>
      </c>
      <c r="T54" s="21">
        <v>1</v>
      </c>
      <c r="U54" s="39">
        <v>1</v>
      </c>
      <c r="V54" s="26">
        <v>1</v>
      </c>
      <c r="W54" s="21">
        <v>1</v>
      </c>
      <c r="X54" s="21">
        <v>1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</row>
    <row r="55" spans="2:30" ht="16.5" customHeight="1" x14ac:dyDescent="0.25">
      <c r="C55" s="19" t="s">
        <v>137</v>
      </c>
      <c r="E55" s="20" t="s">
        <v>15</v>
      </c>
      <c r="G55" s="21">
        <v>1</v>
      </c>
      <c r="H55" s="21">
        <v>1</v>
      </c>
      <c r="I55" s="21">
        <v>1</v>
      </c>
      <c r="J55" s="21">
        <v>1</v>
      </c>
      <c r="K55" s="21">
        <v>1</v>
      </c>
      <c r="L55" s="21">
        <v>1</v>
      </c>
      <c r="M55" s="21">
        <v>1</v>
      </c>
      <c r="N55" s="21">
        <v>1</v>
      </c>
      <c r="O55" s="21">
        <v>1</v>
      </c>
      <c r="P55" s="21">
        <v>1</v>
      </c>
      <c r="Q55" s="21">
        <v>1</v>
      </c>
      <c r="R55" s="21">
        <v>1</v>
      </c>
      <c r="S55" s="21">
        <v>1</v>
      </c>
      <c r="T55" s="21">
        <v>1</v>
      </c>
      <c r="U55" s="21">
        <v>1</v>
      </c>
      <c r="V55" s="21">
        <v>1</v>
      </c>
      <c r="W55" s="22">
        <v>1</v>
      </c>
      <c r="X55" s="21">
        <v>1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</row>
    <row r="56" spans="2:30" ht="16.5" customHeight="1" x14ac:dyDescent="0.25">
      <c r="C56" s="19" t="s">
        <v>138</v>
      </c>
      <c r="E56" s="20" t="s">
        <v>17</v>
      </c>
      <c r="G56" s="21">
        <v>1</v>
      </c>
      <c r="H56" s="21">
        <v>1</v>
      </c>
      <c r="I56" s="21">
        <v>1</v>
      </c>
      <c r="J56" s="21">
        <v>1</v>
      </c>
      <c r="K56" s="21">
        <v>1</v>
      </c>
      <c r="L56" s="21">
        <v>1</v>
      </c>
      <c r="M56" s="21">
        <v>1</v>
      </c>
      <c r="N56" s="21">
        <v>1</v>
      </c>
      <c r="O56" s="21">
        <v>1</v>
      </c>
      <c r="P56" s="21">
        <v>1</v>
      </c>
      <c r="Q56" s="21">
        <v>1</v>
      </c>
      <c r="R56" s="21">
        <v>1</v>
      </c>
      <c r="S56" s="21">
        <v>1</v>
      </c>
      <c r="T56" s="21">
        <v>1</v>
      </c>
      <c r="U56" s="21">
        <v>1</v>
      </c>
      <c r="V56" s="21">
        <v>1</v>
      </c>
      <c r="W56" s="22">
        <v>1</v>
      </c>
      <c r="X56" s="21">
        <v>1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</row>
    <row r="57" spans="2:30" ht="16.5" customHeight="1" x14ac:dyDescent="0.25">
      <c r="C57" s="19" t="s">
        <v>139</v>
      </c>
      <c r="E57" s="20" t="s">
        <v>17</v>
      </c>
      <c r="G57" s="21">
        <v>1</v>
      </c>
      <c r="H57" s="21">
        <v>1</v>
      </c>
      <c r="I57" s="21">
        <v>1</v>
      </c>
      <c r="J57" s="21">
        <v>1</v>
      </c>
      <c r="K57" s="21">
        <v>1</v>
      </c>
      <c r="L57" s="21">
        <v>1</v>
      </c>
      <c r="M57" s="21">
        <v>1</v>
      </c>
      <c r="N57" s="21">
        <v>1</v>
      </c>
      <c r="O57" s="21">
        <v>1</v>
      </c>
      <c r="P57" s="21">
        <v>1</v>
      </c>
      <c r="Q57" s="21">
        <v>1</v>
      </c>
      <c r="R57" s="21">
        <v>1</v>
      </c>
      <c r="S57" s="21">
        <v>1</v>
      </c>
      <c r="T57" s="21">
        <v>1</v>
      </c>
      <c r="U57" s="21">
        <v>1</v>
      </c>
      <c r="V57" s="21">
        <v>1</v>
      </c>
      <c r="W57" s="22">
        <v>1</v>
      </c>
      <c r="X57" s="21">
        <v>1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</row>
    <row r="58" spans="2:30" ht="16.5" customHeight="1" x14ac:dyDescent="0.25">
      <c r="C58" s="19" t="s">
        <v>140</v>
      </c>
      <c r="E58" s="20" t="s">
        <v>16</v>
      </c>
      <c r="G58" s="21">
        <v>1</v>
      </c>
      <c r="H58" s="21">
        <v>1</v>
      </c>
      <c r="I58" s="21">
        <v>1</v>
      </c>
      <c r="J58" s="21">
        <v>1</v>
      </c>
      <c r="K58" s="21">
        <v>1</v>
      </c>
      <c r="L58" s="21">
        <v>1</v>
      </c>
      <c r="M58" s="21">
        <v>1</v>
      </c>
      <c r="N58" s="21">
        <v>1</v>
      </c>
      <c r="O58" s="21">
        <v>1</v>
      </c>
      <c r="P58" s="21">
        <v>1</v>
      </c>
      <c r="Q58" s="21">
        <v>1</v>
      </c>
      <c r="R58" s="21">
        <v>1</v>
      </c>
      <c r="S58" s="21">
        <v>1</v>
      </c>
      <c r="T58" s="21">
        <v>1</v>
      </c>
      <c r="U58" s="21">
        <v>1</v>
      </c>
      <c r="V58" s="21">
        <v>1</v>
      </c>
      <c r="W58" s="22">
        <v>1</v>
      </c>
      <c r="X58" s="21">
        <v>1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</row>
    <row r="59" spans="2:30" ht="16.5" customHeight="1" x14ac:dyDescent="0.25">
      <c r="C59" s="19" t="s">
        <v>141</v>
      </c>
      <c r="E59" s="20" t="s">
        <v>16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2">
        <v>1</v>
      </c>
      <c r="Y59" s="21">
        <v>1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</row>
    <row r="60" spans="2:30" ht="16.5" customHeight="1" x14ac:dyDescent="0.25">
      <c r="C60" s="19" t="s">
        <v>142</v>
      </c>
      <c r="E60" s="20" t="s">
        <v>14</v>
      </c>
      <c r="G60" s="21">
        <v>1</v>
      </c>
      <c r="H60" s="21">
        <v>1</v>
      </c>
      <c r="I60" s="21">
        <v>1</v>
      </c>
      <c r="J60" s="21">
        <v>1</v>
      </c>
      <c r="K60" s="21">
        <v>1</v>
      </c>
      <c r="L60" s="21">
        <v>1</v>
      </c>
      <c r="M60" s="21">
        <v>1</v>
      </c>
      <c r="N60" s="21">
        <v>1</v>
      </c>
      <c r="O60" s="21">
        <v>1</v>
      </c>
      <c r="P60" s="21">
        <v>1</v>
      </c>
      <c r="Q60" s="21">
        <v>1</v>
      </c>
      <c r="R60" s="21">
        <v>1</v>
      </c>
      <c r="S60" s="21">
        <v>1</v>
      </c>
      <c r="T60" s="21">
        <v>1</v>
      </c>
      <c r="U60" s="21">
        <v>1</v>
      </c>
      <c r="V60" s="21">
        <v>1</v>
      </c>
      <c r="W60" s="21">
        <v>1</v>
      </c>
      <c r="X60" s="22">
        <v>1</v>
      </c>
      <c r="Y60" s="21">
        <v>1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</row>
    <row r="61" spans="2:30" ht="16.5" customHeight="1" x14ac:dyDescent="0.25">
      <c r="C61" s="19" t="s">
        <v>143</v>
      </c>
      <c r="E61" s="20" t="s">
        <v>18</v>
      </c>
      <c r="G61" s="21">
        <v>1</v>
      </c>
      <c r="H61" s="21">
        <v>1</v>
      </c>
      <c r="I61" s="21">
        <v>1</v>
      </c>
      <c r="J61" s="21">
        <v>1</v>
      </c>
      <c r="K61" s="21">
        <v>1</v>
      </c>
      <c r="L61" s="21">
        <v>1</v>
      </c>
      <c r="M61" s="21">
        <v>1</v>
      </c>
      <c r="N61" s="21">
        <v>1</v>
      </c>
      <c r="O61" s="21">
        <v>1</v>
      </c>
      <c r="P61" s="21">
        <v>1</v>
      </c>
      <c r="Q61" s="21">
        <v>1</v>
      </c>
      <c r="R61" s="21">
        <v>1</v>
      </c>
      <c r="S61" s="21">
        <v>1</v>
      </c>
      <c r="T61" s="21">
        <v>1</v>
      </c>
      <c r="U61" s="21">
        <v>1</v>
      </c>
      <c r="V61" s="21">
        <v>1</v>
      </c>
      <c r="W61" s="21">
        <v>1</v>
      </c>
      <c r="X61" s="22">
        <v>1</v>
      </c>
      <c r="Y61" s="21">
        <v>1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</row>
    <row r="62" spans="2:30" ht="16.5" customHeight="1" x14ac:dyDescent="0.25">
      <c r="B62" t="s">
        <v>75</v>
      </c>
      <c r="C62" s="19" t="s">
        <v>144</v>
      </c>
      <c r="E62" s="20" t="s">
        <v>84</v>
      </c>
      <c r="G62" s="21">
        <v>1</v>
      </c>
      <c r="H62" s="21">
        <v>1</v>
      </c>
      <c r="I62" s="21">
        <v>1</v>
      </c>
      <c r="J62" s="21">
        <v>1</v>
      </c>
      <c r="K62" s="21">
        <v>1</v>
      </c>
      <c r="L62" s="21">
        <v>1</v>
      </c>
      <c r="M62" s="21">
        <v>1</v>
      </c>
      <c r="N62" s="21">
        <v>1</v>
      </c>
      <c r="O62" s="21">
        <v>1</v>
      </c>
      <c r="P62" s="21">
        <v>1</v>
      </c>
      <c r="Q62" s="21">
        <v>1</v>
      </c>
      <c r="R62" s="21">
        <v>1</v>
      </c>
      <c r="S62" s="21">
        <v>1</v>
      </c>
      <c r="T62" s="21">
        <v>1</v>
      </c>
      <c r="U62" s="21">
        <v>1</v>
      </c>
      <c r="V62" s="21">
        <v>1</v>
      </c>
      <c r="W62" s="21">
        <v>1</v>
      </c>
      <c r="X62" s="22">
        <v>1</v>
      </c>
      <c r="Y62" s="21">
        <v>1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</row>
    <row r="63" spans="2:30" ht="16.5" customHeight="1" x14ac:dyDescent="0.25">
      <c r="C63" s="19" t="s">
        <v>145</v>
      </c>
      <c r="E63" s="20" t="s">
        <v>146</v>
      </c>
      <c r="G63" s="21">
        <v>1</v>
      </c>
      <c r="H63" s="21">
        <v>1</v>
      </c>
      <c r="I63" s="21">
        <v>1</v>
      </c>
      <c r="J63" s="21">
        <v>1</v>
      </c>
      <c r="K63" s="21">
        <v>1</v>
      </c>
      <c r="L63" s="21">
        <v>1</v>
      </c>
      <c r="M63" s="21">
        <v>1</v>
      </c>
      <c r="N63" s="21">
        <v>1</v>
      </c>
      <c r="O63" s="21">
        <v>1</v>
      </c>
      <c r="P63" s="21">
        <v>1</v>
      </c>
      <c r="Q63" s="21">
        <v>1</v>
      </c>
      <c r="R63" s="21">
        <v>1</v>
      </c>
      <c r="S63" s="21">
        <v>1</v>
      </c>
      <c r="T63" s="21">
        <v>1</v>
      </c>
      <c r="U63" s="21">
        <v>1</v>
      </c>
      <c r="V63" s="21">
        <v>1</v>
      </c>
      <c r="W63" s="21">
        <v>1</v>
      </c>
      <c r="X63" s="22">
        <v>1</v>
      </c>
      <c r="Y63" s="21">
        <v>1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</row>
    <row r="64" spans="2:30" ht="16.5" customHeight="1" x14ac:dyDescent="0.25">
      <c r="C64" s="19" t="s">
        <v>147</v>
      </c>
      <c r="E64" s="20" t="s">
        <v>101</v>
      </c>
      <c r="G64" s="21">
        <v>1</v>
      </c>
      <c r="H64" s="21">
        <v>1</v>
      </c>
      <c r="I64" s="21">
        <v>1</v>
      </c>
      <c r="J64" s="21">
        <v>1</v>
      </c>
      <c r="K64" s="21">
        <v>1</v>
      </c>
      <c r="L64" s="21">
        <v>1</v>
      </c>
      <c r="M64" s="21">
        <v>1</v>
      </c>
      <c r="N64" s="21">
        <v>1</v>
      </c>
      <c r="O64" s="21">
        <v>1</v>
      </c>
      <c r="P64" s="21">
        <v>1</v>
      </c>
      <c r="Q64" s="21">
        <v>1</v>
      </c>
      <c r="R64" s="21">
        <v>1</v>
      </c>
      <c r="S64" s="21">
        <v>1</v>
      </c>
      <c r="T64" s="21">
        <v>1</v>
      </c>
      <c r="U64" s="21">
        <v>1</v>
      </c>
      <c r="V64" s="21">
        <v>1</v>
      </c>
      <c r="W64" s="21">
        <v>1</v>
      </c>
      <c r="X64" s="21">
        <v>1</v>
      </c>
      <c r="Y64" s="22">
        <v>1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</row>
    <row r="65" spans="2:30" ht="16.5" customHeight="1" x14ac:dyDescent="0.25">
      <c r="B65" s="18"/>
      <c r="C65" s="19" t="s">
        <v>148</v>
      </c>
      <c r="E65" s="20" t="s">
        <v>17</v>
      </c>
      <c r="G65" s="21">
        <v>2</v>
      </c>
      <c r="H65" s="21">
        <v>2</v>
      </c>
      <c r="I65" s="21">
        <v>2</v>
      </c>
      <c r="J65" s="21">
        <v>2</v>
      </c>
      <c r="K65" s="21">
        <v>2</v>
      </c>
      <c r="L65" s="21">
        <v>2</v>
      </c>
      <c r="M65" s="21">
        <v>2</v>
      </c>
      <c r="N65" s="21">
        <v>2</v>
      </c>
      <c r="O65" s="21">
        <v>2</v>
      </c>
      <c r="P65" s="21">
        <v>2</v>
      </c>
      <c r="Q65" s="21">
        <v>2</v>
      </c>
      <c r="R65" s="21">
        <v>2</v>
      </c>
      <c r="S65" s="21">
        <v>2</v>
      </c>
      <c r="T65" s="21">
        <v>2</v>
      </c>
      <c r="U65" s="21">
        <v>2</v>
      </c>
      <c r="V65" s="21">
        <v>2</v>
      </c>
      <c r="W65" s="21">
        <v>2</v>
      </c>
      <c r="X65" s="21">
        <v>2</v>
      </c>
      <c r="Y65" s="21">
        <v>2</v>
      </c>
      <c r="Z65" s="22">
        <v>2</v>
      </c>
      <c r="AA65" s="21">
        <v>0</v>
      </c>
      <c r="AB65" s="21">
        <v>0</v>
      </c>
      <c r="AC65" s="21">
        <v>0</v>
      </c>
      <c r="AD65" s="21">
        <v>0</v>
      </c>
    </row>
    <row r="66" spans="2:30" ht="16.5" customHeight="1" x14ac:dyDescent="0.25">
      <c r="C66" s="19" t="s">
        <v>149</v>
      </c>
      <c r="E66" s="20" t="s">
        <v>150</v>
      </c>
      <c r="G66" s="21">
        <v>1</v>
      </c>
      <c r="H66" s="21">
        <v>1</v>
      </c>
      <c r="I66" s="21">
        <v>1</v>
      </c>
      <c r="J66" s="21">
        <v>1</v>
      </c>
      <c r="K66" s="21">
        <v>1</v>
      </c>
      <c r="L66" s="21">
        <v>1</v>
      </c>
      <c r="M66" s="21">
        <v>1</v>
      </c>
      <c r="N66" s="21">
        <v>1</v>
      </c>
      <c r="O66" s="21">
        <v>1</v>
      </c>
      <c r="P66" s="21">
        <v>1</v>
      </c>
      <c r="Q66" s="21">
        <v>1</v>
      </c>
      <c r="R66" s="21">
        <v>1</v>
      </c>
      <c r="S66" s="21">
        <v>1</v>
      </c>
      <c r="T66" s="21">
        <v>1</v>
      </c>
      <c r="U66" s="21">
        <v>1</v>
      </c>
      <c r="V66" s="21">
        <v>1</v>
      </c>
      <c r="W66" s="21">
        <v>1</v>
      </c>
      <c r="X66" s="21">
        <v>1</v>
      </c>
      <c r="Y66" s="21">
        <v>1</v>
      </c>
      <c r="Z66" s="22">
        <v>1</v>
      </c>
      <c r="AA66" s="21">
        <v>0</v>
      </c>
      <c r="AB66" s="21">
        <v>0</v>
      </c>
      <c r="AC66" s="21">
        <v>0</v>
      </c>
      <c r="AD66" s="21">
        <v>0</v>
      </c>
    </row>
    <row r="67" spans="2:30" ht="16.5" customHeight="1" x14ac:dyDescent="0.25">
      <c r="C67" s="21" t="s">
        <v>151</v>
      </c>
      <c r="E67" s="20" t="s">
        <v>152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2">
        <v>1</v>
      </c>
      <c r="AA67" s="21">
        <v>0</v>
      </c>
      <c r="AB67" s="21">
        <v>0</v>
      </c>
      <c r="AC67" s="21">
        <v>0</v>
      </c>
      <c r="AD67" s="21">
        <v>0</v>
      </c>
    </row>
    <row r="68" spans="2:30" ht="16.5" customHeight="1" x14ac:dyDescent="0.25">
      <c r="B68" t="s">
        <v>85</v>
      </c>
      <c r="C68" s="19" t="s">
        <v>153</v>
      </c>
      <c r="E68" s="20" t="s">
        <v>15</v>
      </c>
      <c r="G68" s="21">
        <v>1</v>
      </c>
      <c r="H68" s="21">
        <v>1</v>
      </c>
      <c r="I68" s="21">
        <v>1</v>
      </c>
      <c r="J68" s="21">
        <v>1</v>
      </c>
      <c r="K68" s="21">
        <v>1</v>
      </c>
      <c r="L68" s="21">
        <v>1</v>
      </c>
      <c r="M68" s="21">
        <v>1</v>
      </c>
      <c r="N68" s="21">
        <v>1</v>
      </c>
      <c r="O68" s="21">
        <v>1</v>
      </c>
      <c r="P68" s="21">
        <v>1</v>
      </c>
      <c r="Q68" s="21">
        <v>1</v>
      </c>
      <c r="R68" s="21">
        <v>1</v>
      </c>
      <c r="S68" s="21">
        <v>1</v>
      </c>
      <c r="T68" s="21">
        <v>1</v>
      </c>
      <c r="U68" s="21">
        <v>1</v>
      </c>
      <c r="V68" s="21">
        <v>1</v>
      </c>
      <c r="W68" s="21">
        <v>1</v>
      </c>
      <c r="X68" s="21">
        <v>1</v>
      </c>
      <c r="Y68" s="21">
        <v>1</v>
      </c>
      <c r="Z68" s="22">
        <v>1</v>
      </c>
      <c r="AA68" s="21">
        <v>0</v>
      </c>
      <c r="AB68" s="21">
        <v>0</v>
      </c>
      <c r="AC68" s="21">
        <v>0</v>
      </c>
      <c r="AD68" s="21">
        <v>0</v>
      </c>
    </row>
    <row r="69" spans="2:30" ht="16.5" customHeight="1" x14ac:dyDescent="0.25">
      <c r="C69" s="19" t="s">
        <v>154</v>
      </c>
      <c r="E69" s="20" t="s">
        <v>15</v>
      </c>
      <c r="G69" s="21">
        <v>1</v>
      </c>
      <c r="H69" s="21">
        <v>1</v>
      </c>
      <c r="I69" s="21">
        <v>1</v>
      </c>
      <c r="J69" s="21">
        <v>1</v>
      </c>
      <c r="K69" s="21">
        <v>1</v>
      </c>
      <c r="L69" s="21">
        <v>1</v>
      </c>
      <c r="M69" s="21">
        <v>1</v>
      </c>
      <c r="N69" s="21">
        <v>1</v>
      </c>
      <c r="O69" s="21">
        <v>1</v>
      </c>
      <c r="P69" s="21">
        <v>1</v>
      </c>
      <c r="Q69" s="21">
        <v>1</v>
      </c>
      <c r="R69" s="21">
        <v>1</v>
      </c>
      <c r="S69" s="21">
        <v>1</v>
      </c>
      <c r="T69" s="21">
        <v>1</v>
      </c>
      <c r="U69" s="21">
        <v>1</v>
      </c>
      <c r="V69" s="21">
        <v>1</v>
      </c>
      <c r="W69" s="21">
        <v>1</v>
      </c>
      <c r="X69" s="21">
        <v>1</v>
      </c>
      <c r="Y69" s="21">
        <v>1</v>
      </c>
      <c r="Z69" s="22">
        <v>1</v>
      </c>
      <c r="AA69" s="21">
        <v>0</v>
      </c>
      <c r="AB69" s="21">
        <v>0</v>
      </c>
      <c r="AC69" s="21">
        <v>0</v>
      </c>
      <c r="AD69" s="21">
        <v>0</v>
      </c>
    </row>
    <row r="70" spans="2:30" ht="16.5" customHeight="1" x14ac:dyDescent="0.25">
      <c r="C70" s="19" t="s">
        <v>155</v>
      </c>
      <c r="E70" s="20" t="s">
        <v>17</v>
      </c>
      <c r="G70" s="21">
        <v>1</v>
      </c>
      <c r="H70" s="21">
        <v>1</v>
      </c>
      <c r="I70" s="21">
        <v>1</v>
      </c>
      <c r="J70" s="21">
        <v>1</v>
      </c>
      <c r="K70" s="21">
        <v>1</v>
      </c>
      <c r="L70" s="21">
        <v>1</v>
      </c>
      <c r="M70" s="21">
        <v>1</v>
      </c>
      <c r="N70" s="21">
        <v>1</v>
      </c>
      <c r="O70" s="21">
        <v>1</v>
      </c>
      <c r="P70" s="21">
        <v>1</v>
      </c>
      <c r="Q70" s="21">
        <v>1</v>
      </c>
      <c r="R70" s="21">
        <v>1</v>
      </c>
      <c r="S70" s="21">
        <v>1</v>
      </c>
      <c r="T70" s="21">
        <v>1</v>
      </c>
      <c r="U70" s="21">
        <v>1</v>
      </c>
      <c r="V70" s="21">
        <v>1</v>
      </c>
      <c r="W70" s="21">
        <v>1</v>
      </c>
      <c r="X70" s="21">
        <v>1</v>
      </c>
      <c r="Y70" s="21">
        <v>1</v>
      </c>
      <c r="Z70" s="22">
        <v>1</v>
      </c>
      <c r="AA70" s="21">
        <v>1</v>
      </c>
      <c r="AB70" s="21">
        <v>0</v>
      </c>
      <c r="AC70" s="21">
        <v>0</v>
      </c>
      <c r="AD70" s="21">
        <v>0</v>
      </c>
    </row>
    <row r="71" spans="2:30" ht="16.5" customHeight="1" x14ac:dyDescent="0.25">
      <c r="C71" s="19" t="s">
        <v>156</v>
      </c>
      <c r="E71" s="20" t="s">
        <v>17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2">
        <v>2</v>
      </c>
      <c r="AA71" s="21">
        <v>2</v>
      </c>
      <c r="AB71" s="21">
        <v>0</v>
      </c>
      <c r="AC71" s="21">
        <v>0</v>
      </c>
      <c r="AD71" s="21">
        <v>0</v>
      </c>
    </row>
    <row r="72" spans="2:30" ht="16.5" customHeight="1" x14ac:dyDescent="0.25">
      <c r="C72" s="20" t="s">
        <v>157</v>
      </c>
      <c r="E72" s="20" t="s">
        <v>14</v>
      </c>
      <c r="G72" s="21">
        <v>1</v>
      </c>
      <c r="H72" s="21">
        <v>1</v>
      </c>
      <c r="I72" s="21">
        <v>1</v>
      </c>
      <c r="J72" s="21">
        <v>1</v>
      </c>
      <c r="K72" s="21">
        <v>1</v>
      </c>
      <c r="L72" s="21">
        <v>1</v>
      </c>
      <c r="M72" s="21">
        <v>1</v>
      </c>
      <c r="N72" s="21">
        <v>1</v>
      </c>
      <c r="O72" s="21">
        <v>1</v>
      </c>
      <c r="P72" s="21">
        <v>1</v>
      </c>
      <c r="Q72" s="21">
        <v>1</v>
      </c>
      <c r="R72" s="21">
        <v>1</v>
      </c>
      <c r="S72" s="21">
        <v>1</v>
      </c>
      <c r="T72" s="21">
        <v>1</v>
      </c>
      <c r="U72" s="21">
        <v>1</v>
      </c>
      <c r="V72" s="21">
        <v>1</v>
      </c>
      <c r="W72" s="21">
        <v>1</v>
      </c>
      <c r="X72" s="21">
        <v>1</v>
      </c>
      <c r="Y72" s="21">
        <v>1</v>
      </c>
      <c r="Z72" s="26">
        <v>1</v>
      </c>
      <c r="AA72" s="21">
        <v>1</v>
      </c>
      <c r="AB72" s="21">
        <v>0</v>
      </c>
      <c r="AC72" s="21">
        <v>0</v>
      </c>
      <c r="AD72" s="21">
        <v>0</v>
      </c>
    </row>
    <row r="73" spans="2:30" ht="16.5" customHeight="1" x14ac:dyDescent="0.25">
      <c r="C73" s="19" t="s">
        <v>158</v>
      </c>
      <c r="E73" s="20" t="s">
        <v>18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2">
        <v>1</v>
      </c>
      <c r="AA73" s="21">
        <v>1</v>
      </c>
      <c r="AB73" s="21">
        <v>0</v>
      </c>
      <c r="AC73" s="21">
        <v>0</v>
      </c>
      <c r="AD73" s="21">
        <v>0</v>
      </c>
    </row>
    <row r="74" spans="2:30" ht="16.5" customHeight="1" x14ac:dyDescent="0.25">
      <c r="B74" t="s">
        <v>159</v>
      </c>
      <c r="C74" s="19" t="s">
        <v>160</v>
      </c>
      <c r="E74" s="20" t="s">
        <v>25</v>
      </c>
      <c r="G74" s="21">
        <v>5</v>
      </c>
      <c r="H74" s="21">
        <v>5</v>
      </c>
      <c r="I74" s="21">
        <v>5</v>
      </c>
      <c r="J74" s="21">
        <v>5</v>
      </c>
      <c r="K74" s="21">
        <v>5</v>
      </c>
      <c r="L74" s="21">
        <v>5</v>
      </c>
      <c r="M74" s="21">
        <v>5</v>
      </c>
      <c r="N74" s="21">
        <v>5</v>
      </c>
      <c r="O74" s="21">
        <v>5</v>
      </c>
      <c r="P74" s="21">
        <v>5</v>
      </c>
      <c r="Q74" s="21">
        <v>5</v>
      </c>
      <c r="R74" s="21">
        <v>5</v>
      </c>
      <c r="S74" s="21">
        <v>5</v>
      </c>
      <c r="T74" s="21">
        <v>5</v>
      </c>
      <c r="U74" s="21">
        <v>5</v>
      </c>
      <c r="V74" s="21">
        <v>5</v>
      </c>
      <c r="W74" s="21">
        <v>5</v>
      </c>
      <c r="X74" s="21">
        <v>5</v>
      </c>
      <c r="Y74" s="21">
        <v>5</v>
      </c>
      <c r="Z74" s="22">
        <v>5</v>
      </c>
      <c r="AA74" s="21">
        <v>5</v>
      </c>
      <c r="AB74" s="21">
        <v>0</v>
      </c>
      <c r="AC74" s="21">
        <v>0</v>
      </c>
      <c r="AD74" s="21">
        <v>0</v>
      </c>
    </row>
    <row r="75" spans="2:30" ht="16.5" customHeight="1" x14ac:dyDescent="0.25">
      <c r="B75" s="18"/>
      <c r="C75" s="19" t="s">
        <v>161</v>
      </c>
      <c r="E75" s="20" t="s">
        <v>25</v>
      </c>
      <c r="G75" s="21">
        <v>5</v>
      </c>
      <c r="H75" s="21">
        <v>5</v>
      </c>
      <c r="I75" s="21">
        <v>5</v>
      </c>
      <c r="J75" s="21">
        <v>5</v>
      </c>
      <c r="K75" s="21">
        <v>5</v>
      </c>
      <c r="L75" s="21">
        <v>5</v>
      </c>
      <c r="M75" s="21">
        <v>5</v>
      </c>
      <c r="N75" s="21">
        <v>5</v>
      </c>
      <c r="O75" s="21">
        <v>5</v>
      </c>
      <c r="P75" s="21">
        <v>5</v>
      </c>
      <c r="Q75" s="21">
        <v>5</v>
      </c>
      <c r="R75" s="21">
        <v>5</v>
      </c>
      <c r="S75" s="21">
        <v>5</v>
      </c>
      <c r="T75" s="21">
        <v>5</v>
      </c>
      <c r="U75" s="21">
        <v>5</v>
      </c>
      <c r="V75" s="21">
        <v>5</v>
      </c>
      <c r="W75" s="21">
        <v>5</v>
      </c>
      <c r="X75" s="21">
        <v>5</v>
      </c>
      <c r="Y75" s="21">
        <v>5</v>
      </c>
      <c r="Z75" s="21">
        <v>5</v>
      </c>
      <c r="AA75" s="22">
        <v>5</v>
      </c>
      <c r="AB75" s="21">
        <v>5</v>
      </c>
      <c r="AC75" s="21">
        <v>0</v>
      </c>
      <c r="AD75" s="21">
        <v>0</v>
      </c>
    </row>
    <row r="76" spans="2:30" ht="16.5" customHeight="1" x14ac:dyDescent="0.25">
      <c r="B76" t="s">
        <v>19</v>
      </c>
      <c r="C76" s="19"/>
      <c r="E76" s="20" t="s">
        <v>12</v>
      </c>
      <c r="G76" s="21">
        <f>SUM(G16:G75)</f>
        <v>123</v>
      </c>
      <c r="H76" s="21"/>
      <c r="I76" s="21">
        <f t="shared" ref="I76:AD76" si="0">SUM(I16:I75)</f>
        <v>123</v>
      </c>
      <c r="J76" s="21">
        <f t="shared" si="0"/>
        <v>118</v>
      </c>
      <c r="K76" s="21">
        <f t="shared" si="0"/>
        <v>113</v>
      </c>
      <c r="L76" s="21">
        <f t="shared" si="0"/>
        <v>107</v>
      </c>
      <c r="M76" s="21">
        <f t="shared" si="0"/>
        <v>101</v>
      </c>
      <c r="N76" s="21">
        <f t="shared" si="0"/>
        <v>94</v>
      </c>
      <c r="O76" s="21">
        <f t="shared" si="0"/>
        <v>89</v>
      </c>
      <c r="P76" s="21">
        <f t="shared" si="0"/>
        <v>83</v>
      </c>
      <c r="Q76" s="21">
        <f t="shared" si="0"/>
        <v>73</v>
      </c>
      <c r="R76" s="21">
        <f t="shared" si="0"/>
        <v>69</v>
      </c>
      <c r="S76" s="21">
        <f t="shared" si="0"/>
        <v>64</v>
      </c>
      <c r="T76" s="21">
        <f t="shared" si="0"/>
        <v>58</v>
      </c>
      <c r="U76" s="21">
        <f t="shared" si="0"/>
        <v>51</v>
      </c>
      <c r="V76" s="21">
        <f t="shared" si="0"/>
        <v>46</v>
      </c>
      <c r="W76" s="21">
        <f t="shared" si="0"/>
        <v>36</v>
      </c>
      <c r="X76" s="21">
        <f t="shared" si="0"/>
        <v>32</v>
      </c>
      <c r="Y76" s="21">
        <f t="shared" si="0"/>
        <v>27</v>
      </c>
      <c r="Z76" s="21">
        <f t="shared" si="0"/>
        <v>21</v>
      </c>
      <c r="AA76" s="22">
        <f t="shared" si="0"/>
        <v>15</v>
      </c>
      <c r="AB76" s="21">
        <f t="shared" si="0"/>
        <v>5</v>
      </c>
      <c r="AC76" s="21">
        <f t="shared" si="0"/>
        <v>0</v>
      </c>
      <c r="AD76" s="21">
        <f t="shared" si="0"/>
        <v>0</v>
      </c>
    </row>
    <row r="77" spans="2:30" ht="16.5" customHeight="1" x14ac:dyDescent="0.25">
      <c r="C77" s="19"/>
      <c r="E77" s="20" t="s">
        <v>13</v>
      </c>
      <c r="G77" s="21">
        <f>SUM(H16:H75)</f>
        <v>123</v>
      </c>
      <c r="H77" s="21"/>
      <c r="I77" s="21">
        <f t="shared" ref="I77:AD77" si="1">SUM(I16:I75)</f>
        <v>123</v>
      </c>
      <c r="J77" s="21">
        <f t="shared" si="1"/>
        <v>118</v>
      </c>
      <c r="K77" s="21">
        <f t="shared" si="1"/>
        <v>113</v>
      </c>
      <c r="L77" s="21">
        <f t="shared" si="1"/>
        <v>107</v>
      </c>
      <c r="M77" s="21">
        <f t="shared" si="1"/>
        <v>101</v>
      </c>
      <c r="N77" s="21">
        <f t="shared" si="1"/>
        <v>94</v>
      </c>
      <c r="O77" s="21">
        <f t="shared" si="1"/>
        <v>89</v>
      </c>
      <c r="P77" s="21">
        <f t="shared" si="1"/>
        <v>83</v>
      </c>
      <c r="Q77" s="21">
        <f t="shared" si="1"/>
        <v>73</v>
      </c>
      <c r="R77" s="21">
        <f t="shared" si="1"/>
        <v>69</v>
      </c>
      <c r="S77" s="21">
        <f t="shared" si="1"/>
        <v>64</v>
      </c>
      <c r="T77" s="21">
        <f t="shared" si="1"/>
        <v>58</v>
      </c>
      <c r="U77" s="21">
        <f t="shared" si="1"/>
        <v>51</v>
      </c>
      <c r="V77" s="21">
        <f t="shared" si="1"/>
        <v>46</v>
      </c>
      <c r="W77" s="21">
        <f t="shared" si="1"/>
        <v>36</v>
      </c>
      <c r="X77" s="21">
        <f t="shared" si="1"/>
        <v>32</v>
      </c>
      <c r="Y77" s="21">
        <f t="shared" si="1"/>
        <v>27</v>
      </c>
      <c r="Z77" s="21">
        <f t="shared" si="1"/>
        <v>21</v>
      </c>
      <c r="AA77" s="22">
        <f t="shared" si="1"/>
        <v>15</v>
      </c>
      <c r="AB77" s="21">
        <f t="shared" si="1"/>
        <v>5</v>
      </c>
      <c r="AC77" s="21">
        <f t="shared" si="1"/>
        <v>0</v>
      </c>
      <c r="AD77" s="21">
        <f t="shared" si="1"/>
        <v>0</v>
      </c>
    </row>
    <row r="78" spans="2:30" ht="16.5" customHeight="1" x14ac:dyDescent="0.25">
      <c r="C78" s="19"/>
      <c r="E78" s="20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2"/>
      <c r="AB78" s="21"/>
      <c r="AC78" s="21"/>
      <c r="AD78" s="21"/>
    </row>
    <row r="79" spans="2:30" ht="16.5" customHeight="1" x14ac:dyDescent="0.25">
      <c r="C79" s="19"/>
      <c r="E79" s="20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2"/>
      <c r="AB79" s="21"/>
      <c r="AC79" s="21"/>
      <c r="AD79" s="21"/>
    </row>
    <row r="80" spans="2:30" ht="16.5" customHeight="1" x14ac:dyDescent="0.25">
      <c r="C80" s="19"/>
      <c r="E80" s="20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2"/>
      <c r="AC80" s="21"/>
      <c r="AD80" s="21"/>
    </row>
    <row r="81" spans="2:30" ht="16.5" customHeight="1" x14ac:dyDescent="0.25">
      <c r="C81" s="19"/>
      <c r="E81" s="20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2"/>
      <c r="AC81" s="21"/>
      <c r="AD81" s="21"/>
    </row>
    <row r="82" spans="2:30" ht="16.5" customHeight="1" x14ac:dyDescent="0.25">
      <c r="C82" s="19"/>
      <c r="E82" s="20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2"/>
      <c r="AC82" s="21"/>
      <c r="AD82" s="21"/>
    </row>
    <row r="83" spans="2:30" ht="16.5" customHeight="1" x14ac:dyDescent="0.25">
      <c r="C83" s="20"/>
      <c r="E83" s="20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5"/>
      <c r="AC83" s="21"/>
      <c r="AD83" s="21"/>
    </row>
    <row r="84" spans="2:30" ht="16.5" customHeight="1" x14ac:dyDescent="0.25">
      <c r="C84" s="19"/>
      <c r="E84" s="20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2"/>
      <c r="AC84" s="21"/>
      <c r="AD84" s="21"/>
    </row>
    <row r="85" spans="2:30" ht="16.5" customHeight="1" x14ac:dyDescent="0.25">
      <c r="B85" s="18"/>
      <c r="C85" s="19"/>
      <c r="E85" s="27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2"/>
      <c r="AD85" s="21"/>
    </row>
    <row r="86" spans="2:30" ht="16.5" customHeight="1" x14ac:dyDescent="0.25">
      <c r="C86" s="19"/>
      <c r="E86" s="27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2"/>
      <c r="AD86" s="21"/>
    </row>
    <row r="87" spans="2:30" ht="16.5" customHeight="1" x14ac:dyDescent="0.25">
      <c r="C87" s="20"/>
      <c r="E87" s="27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39"/>
      <c r="AC87" s="26"/>
      <c r="AD87" s="21"/>
    </row>
    <row r="88" spans="2:30" ht="16.5" customHeight="1" x14ac:dyDescent="0.25">
      <c r="C88" s="19"/>
      <c r="E88" s="27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2"/>
      <c r="AD88" s="21"/>
    </row>
    <row r="89" spans="2:30" ht="16.5" customHeight="1" x14ac:dyDescent="0.25">
      <c r="C89" s="19"/>
      <c r="E89" s="27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2"/>
      <c r="AD89" s="21"/>
    </row>
    <row r="90" spans="2:30" ht="16.5" customHeight="1" x14ac:dyDescent="0.25">
      <c r="C90" s="20"/>
      <c r="E90" s="27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39"/>
      <c r="AC90" s="25"/>
      <c r="AD90" s="21"/>
    </row>
    <row r="91" spans="2:30" ht="16.5" customHeight="1" x14ac:dyDescent="0.25">
      <c r="C91" s="19"/>
      <c r="E91" s="27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2"/>
      <c r="AD91" s="21"/>
    </row>
    <row r="92" spans="2:30" ht="16.5" customHeight="1" x14ac:dyDescent="0.25">
      <c r="C92" s="21"/>
      <c r="E92" s="27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2"/>
      <c r="AD92" s="21"/>
    </row>
    <row r="93" spans="2:30" ht="16.5" customHeight="1" x14ac:dyDescent="0.25">
      <c r="C93" s="21"/>
      <c r="E93" s="27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2"/>
      <c r="AD93" s="21"/>
    </row>
    <row r="94" spans="2:30" ht="16.5" customHeight="1" x14ac:dyDescent="0.25">
      <c r="C94" s="21"/>
      <c r="E94" s="27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2"/>
      <c r="AD94" s="21"/>
    </row>
    <row r="95" spans="2:30" ht="16.5" customHeight="1" x14ac:dyDescent="0.25">
      <c r="C95" s="21"/>
      <c r="E95" s="27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2"/>
      <c r="AD95" s="21"/>
    </row>
    <row r="96" spans="2:30" ht="16.5" customHeight="1" x14ac:dyDescent="0.25">
      <c r="B96" s="18"/>
      <c r="C96" s="19"/>
      <c r="E96" s="20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2"/>
    </row>
    <row r="97" spans="2:30" ht="16.5" customHeight="1" x14ac:dyDescent="0.25">
      <c r="C97" s="19"/>
      <c r="E97" s="20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2"/>
    </row>
    <row r="98" spans="2:30" ht="16.5" customHeight="1" x14ac:dyDescent="0.25">
      <c r="B98" s="41"/>
      <c r="E98" s="29"/>
      <c r="G98" s="20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</row>
    <row r="99" spans="2:30" ht="16.5" customHeight="1" x14ac:dyDescent="0.25">
      <c r="E99" s="29"/>
      <c r="G99" s="20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</row>
    <row r="120" spans="3:3" x14ac:dyDescent="0.25">
      <c r="C120" s="42"/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10"/>
  <sheetViews>
    <sheetView tabSelected="1" zoomScale="70" zoomScaleNormal="70" workbookViewId="0">
      <selection activeCell="AF99" sqref="AF99"/>
    </sheetView>
  </sheetViews>
  <sheetFormatPr defaultColWidth="9.140625" defaultRowHeight="16.5" x14ac:dyDescent="0.25"/>
  <cols>
    <col min="1" max="1" width="19.5703125" style="1" customWidth="1"/>
    <col min="2" max="2" width="19" style="1" customWidth="1"/>
    <col min="3" max="3" width="54.7109375" style="1" customWidth="1"/>
    <col min="4" max="4" width="11.5703125" style="1" customWidth="1"/>
    <col min="5" max="5" width="15.28515625" style="1" customWidth="1"/>
    <col min="6" max="6" width="19.28515625" style="1" customWidth="1"/>
    <col min="7" max="7" width="6" style="1" customWidth="1"/>
    <col min="8" max="8" width="6.140625" style="1" customWidth="1"/>
    <col min="9" max="12" width="6" style="1" customWidth="1"/>
    <col min="13" max="13" width="6.140625" style="1" customWidth="1"/>
    <col min="14" max="17" width="6" style="1" customWidth="1"/>
    <col min="18" max="18" width="6.140625" style="1" customWidth="1"/>
    <col min="19" max="21" width="6" style="1" customWidth="1"/>
    <col min="22" max="24" width="6.140625" style="1" customWidth="1"/>
    <col min="25" max="26" width="6" style="1" customWidth="1"/>
    <col min="27" max="27" width="6.140625" style="1" customWidth="1"/>
    <col min="28" max="28" width="6" style="1" customWidth="1"/>
    <col min="29" max="16384" width="9.140625" style="1"/>
  </cols>
  <sheetData>
    <row r="1" spans="1:30" ht="17.25" customHeight="1" x14ac:dyDescent="0.25">
      <c r="A1" s="2" t="s">
        <v>0</v>
      </c>
      <c r="C1" s="30" t="s">
        <v>1</v>
      </c>
      <c r="E1" s="3"/>
      <c r="F1" s="4" t="s">
        <v>95</v>
      </c>
    </row>
    <row r="2" spans="1:30" ht="17.25" customHeight="1" x14ac:dyDescent="0.25">
      <c r="A2" s="2" t="s">
        <v>3</v>
      </c>
      <c r="C2" s="5" t="s">
        <v>162</v>
      </c>
      <c r="E2" s="31"/>
      <c r="F2" s="7" t="s">
        <v>97</v>
      </c>
    </row>
    <row r="3" spans="1:30" ht="17.25" customHeight="1" x14ac:dyDescent="0.25">
      <c r="A3" s="2" t="s">
        <v>6</v>
      </c>
      <c r="C3" s="32">
        <v>46127</v>
      </c>
      <c r="E3" s="6"/>
      <c r="F3" s="7" t="s">
        <v>5</v>
      </c>
    </row>
    <row r="4" spans="1:30" ht="18" customHeight="1" x14ac:dyDescent="0.25">
      <c r="A4" s="2" t="s">
        <v>8</v>
      </c>
      <c r="C4" s="32">
        <v>46147</v>
      </c>
      <c r="D4" s="1" t="s">
        <v>163</v>
      </c>
      <c r="E4" s="33"/>
      <c r="F4" s="7" t="s">
        <v>98</v>
      </c>
    </row>
    <row r="5" spans="1:30" ht="18" customHeight="1" x14ac:dyDescent="0.25">
      <c r="E5" s="8"/>
      <c r="F5" s="9" t="s">
        <v>7</v>
      </c>
    </row>
    <row r="6" spans="1:30" ht="17.25" customHeight="1" x14ac:dyDescent="0.25">
      <c r="B6" s="10" t="s">
        <v>164</v>
      </c>
    </row>
    <row r="7" spans="1:30" ht="17.25" customHeight="1" x14ac:dyDescent="0.25">
      <c r="B7" s="11" t="s">
        <v>10</v>
      </c>
      <c r="C7" s="11" t="s">
        <v>11</v>
      </c>
      <c r="D7" s="11" t="s">
        <v>12</v>
      </c>
      <c r="E7" s="11" t="s">
        <v>13</v>
      </c>
    </row>
    <row r="8" spans="1:30" ht="17.25" customHeight="1" x14ac:dyDescent="0.25">
      <c r="B8" s="12">
        <v>1</v>
      </c>
      <c r="C8" s="5" t="s">
        <v>14</v>
      </c>
      <c r="D8" s="5">
        <f ca="1">SUMIF($E$16:$F$70,"Tịnh",$H$16:$H$70)+SUMIF($E$16:$F$70,"All team",$H$16:$H$70)/5+SUMIF($E$16:$F$70,"Tịnh,Nhung",$H$16:$H$70)/2+SUMIF($E$16:$F$70,"Tịnh,Sang",$H$16:$H$70)/2+SUMIF($E$16:$F$70,"Tịnh,Nhung,Hoàng,Kiệt,Sang",$H$16:$H$70)/5</f>
        <v>16.3</v>
      </c>
      <c r="E8" s="5">
        <f ca="1">SUMIF($E$16:$F$70,"Tịnh",$H$16:$H$70)+SUMIF($E$16:$F$70,"All team",$H$16:$H$70)/5+SUMIF($E$16:$F$70,"Tịnh,Nhung",$H$16:$H$70)/2+SUMIF($E$16:$F$70,"Tịnh,Sang",$H$16:$H$70)/2+SUMIF($E$16:$F$70,"Tịnh,Nhung,Hoàng,Kiệt,Sang",$H$16:$H$70)/5</f>
        <v>16.3</v>
      </c>
    </row>
    <row r="9" spans="1:30" ht="17.25" customHeight="1" x14ac:dyDescent="0.25">
      <c r="B9" s="12">
        <v>2</v>
      </c>
      <c r="C9" s="5" t="s">
        <v>15</v>
      </c>
      <c r="D9" s="5">
        <f ca="1">SUMIF($E$16:$F$70,"Nhung",$H$16:$H$70)+SUMIF($E$16:$F$70,"All team",$H$16:$H$70)/5+SUMIF($E$16:$F$70,"Tịnh,Nhung",$H$16:$H$70)/2+SUMIF($E$16:$F$70,"Hoàng,Nhung",$H$16:$H$70)/2+SUMIF($E$16:$F$70,"Nhung,Kiệt",$H$16:$H$70)/2+SUMIF($E$16:$F$70,"Tịnh,Nhung,Hoàng,Kiệt,Sang",$H$16:$H$70)/5</f>
        <v>20.8</v>
      </c>
      <c r="E9" s="5">
        <f ca="1">SUMIF($E$16:$F$70,"Nhung",$H$16:$H$70)+SUMIF($E$16:$F$70,"All team",$H$16:$H$70)/5+SUMIF($E$16:$F$70,"Tịnh,Nhung",$H$16:$H$70)/2+SUMIF($E$16:$F$70,"Hoàng,Nhung",$H$16:$H$70)/2+SUMIF($E$16:$F$70,"Nhung,Kiệt",$H$16:$H$70)/2+SUMIF($E$16:$F$70,"Tịnh,Nhung,Hoàng,Kiệt,Sang",$H$16:$H$70)/5</f>
        <v>20.8</v>
      </c>
    </row>
    <row r="10" spans="1:30" ht="17.25" customHeight="1" x14ac:dyDescent="0.25">
      <c r="B10" s="12">
        <v>3</v>
      </c>
      <c r="C10" s="5" t="s">
        <v>16</v>
      </c>
      <c r="D10" s="5">
        <f ca="1">SUMIF($E$16:$F$70,"Hoàng",$H$16:$H$70)+SUMIF($E$16:$F$70,"All team",$H$16:$H$70)/5+SUMIF($E$16:$F$70,"Sang,Hoàng",$H$16:$H$70)/2+SUMIF($E$16:$F$70,"Hoàng,Nhung",$H$16:$H$70)/2+SUMIF($E$16:$F$70,"Kiệt,Hoàng",$H$16:$H$70)/2+SUMIF($E$16:$F$70,"Tịnh,Nhung,Hoàng,Kiệt,Sang",$H$16:$H$70)/5</f>
        <v>26.8</v>
      </c>
      <c r="E10" s="5">
        <f ca="1">SUMIF($E$16:$F$70,"Hoàng",$H$16:$H$70)+SUMIF($E$16:$F$70,"All team",$H$16:$H$70)/5+SUMIF($E$16:$F$70,"Sang,Hoàng",$H$16:$H$70)/2+SUMIF($E$16:$F$70,"Hoàng,Nhung",$H$16:$H$70)/2+SUMIF($E$16:$F$70,"Kiệt,Hoàng",$H$16:$H$70)/2+SUMIF($E$16:$F$70,"Tịnh,Nhung,Hoàng,Kiệt,Sang",$H$16:$H$70)/5</f>
        <v>26.8</v>
      </c>
    </row>
    <row r="11" spans="1:30" ht="17.25" customHeight="1" x14ac:dyDescent="0.25">
      <c r="B11" s="12">
        <v>4</v>
      </c>
      <c r="C11" s="5" t="s">
        <v>17</v>
      </c>
      <c r="D11" s="5">
        <f ca="1">SUMIF($E$16:$F$70,"Kiệt",$H$16:$H$70)+SUMIF($E$16:$F$70,"All team",$H$16:$H$70)/5+SUMIF($E$16:$F$70,"Kiệt,Sang",$H$16:$H$70)/2+SUMIF($E$16:$F$70,"Nhung,Kiệt",$H$16:$H$70)/2+SUMIF($E$16:$F$70,"Kiệt,Hoàng",$H$16:$H$70)/2+SUMIF($E$16:$F$70,"Tịnh,Nhung,Hoàng,Kiệt,Sang",$H$16:$H$70)/5</f>
        <v>31.3</v>
      </c>
      <c r="E11" s="5">
        <f ca="1">SUMIF($E$16:$F$70,"Kiệt",$H$16:$H$70)+SUMIF($E$16:$F$70,"All team",$H$16:$H$70)/5+SUMIF($E$16:$F$70,"Kiệt,Sang",$H$16:$H$70)/2+SUMIF($E$16:$F$70,"Nhung,Kiệt",$H$16:$H$70)/2+SUMIF($E$16:$F$70,"Kiệt,Hoàng",$H$16:$H$70)/2+SUMIF($E$16:$F$70,"Tịnh,Nhung,Hoàng,Kiệt,Sang",$H$16:$H$70)/5</f>
        <v>31.3</v>
      </c>
    </row>
    <row r="12" spans="1:30" ht="17.25" customHeight="1" x14ac:dyDescent="0.25">
      <c r="B12" s="12">
        <v>5</v>
      </c>
      <c r="C12" s="5" t="s">
        <v>18</v>
      </c>
      <c r="D12" s="5">
        <f ca="1">SUMIF($E$16:$F$70,"Sang",$H$16:$H$70)+SUMIF($E$16:$F$70,"All team",$H$16:$H$70)/5+SUMIF($E$16:$F$70,"Kiệt,Sang",$H$16:$H$70)/2+SUMIF($E$16:$F$70,"Sang,Hoàng",$H$16:$H$70)/2+SUMIF($E$16:$F$70,"Tịnh,Sang",$H$16:$H$70)/2+SUMIF($E$16:$F$70,"Tịnh,Nhung,Hoàng,Kiệt,Sang",$H$16:$H$70)/5</f>
        <v>21.8</v>
      </c>
      <c r="E12" s="5">
        <f ca="1">SUMIF($E$16:$F$70,"Sang",$H$16:$H$70)+SUMIF($E$16:$F$70,"All team",$H$16:$H$70)/5+SUMIF($E$16:$F$70,"Kiệt,Sang",$H$16:$H$70)/2+SUMIF($E$16:$F$70,"Sang,Hoàng",$H$16:$H$70)/2+SUMIF($E$16:$F$70,"Tịnh,Sang",$H$16:$H$70)/2+SUMIF($E$16:$F$70,"Tịnh,Nhung,Hoàng,Kiệt,Sang",$H$16:$H$70)/5</f>
        <v>21.8</v>
      </c>
    </row>
    <row r="13" spans="1:30" ht="17.25" customHeight="1" x14ac:dyDescent="0.25">
      <c r="B13" s="10" t="s">
        <v>19</v>
      </c>
      <c r="D13" s="13">
        <f ca="1">SUM(D8:D12)</f>
        <v>117</v>
      </c>
      <c r="E13" s="13">
        <f ca="1">SUM(E8:E12)</f>
        <v>117</v>
      </c>
    </row>
    <row r="15" spans="1:30" ht="63.75" customHeight="1" x14ac:dyDescent="0.25">
      <c r="A15" s="14" t="s">
        <v>20</v>
      </c>
      <c r="B15" s="14" t="s">
        <v>21</v>
      </c>
      <c r="C15" s="15" t="s">
        <v>22</v>
      </c>
      <c r="E15" s="15" t="s">
        <v>23</v>
      </c>
      <c r="G15" s="16" t="s">
        <v>12</v>
      </c>
      <c r="H15" s="16" t="s">
        <v>13</v>
      </c>
      <c r="I15" s="17">
        <v>46127</v>
      </c>
      <c r="J15" s="17">
        <v>46128</v>
      </c>
      <c r="K15" s="17">
        <v>46129</v>
      </c>
      <c r="L15" s="17">
        <v>46130</v>
      </c>
      <c r="M15" s="17">
        <v>46131</v>
      </c>
      <c r="N15" s="17">
        <v>46132</v>
      </c>
      <c r="O15" s="17">
        <v>46133</v>
      </c>
      <c r="P15" s="17">
        <v>46134</v>
      </c>
      <c r="Q15" s="17">
        <v>46135</v>
      </c>
      <c r="R15" s="17">
        <v>46136</v>
      </c>
      <c r="S15" s="17">
        <v>46137</v>
      </c>
      <c r="T15" s="17">
        <v>46138</v>
      </c>
      <c r="U15" s="17">
        <v>46139</v>
      </c>
      <c r="V15" s="17">
        <v>46140</v>
      </c>
      <c r="W15" s="17">
        <v>46141</v>
      </c>
      <c r="X15" s="17">
        <v>46142</v>
      </c>
      <c r="Y15" s="17">
        <v>46143</v>
      </c>
      <c r="Z15" s="17">
        <v>46144</v>
      </c>
      <c r="AA15" s="17">
        <v>46145</v>
      </c>
      <c r="AB15" s="17">
        <v>46146</v>
      </c>
      <c r="AC15" s="17">
        <v>46147</v>
      </c>
      <c r="AD15" s="38">
        <v>46148</v>
      </c>
    </row>
    <row r="16" spans="1:30" x14ac:dyDescent="0.25">
      <c r="A16" s="18" t="s">
        <v>162</v>
      </c>
      <c r="B16" s="19" t="s">
        <v>24</v>
      </c>
      <c r="E16" s="20" t="s">
        <v>25</v>
      </c>
      <c r="G16" s="21">
        <v>10</v>
      </c>
      <c r="H16" s="21">
        <v>10</v>
      </c>
      <c r="I16" s="21">
        <v>10</v>
      </c>
      <c r="J16" s="22">
        <v>5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1">
        <v>0</v>
      </c>
    </row>
    <row r="17" spans="2:30" x14ac:dyDescent="0.25">
      <c r="B17" s="19" t="s">
        <v>165</v>
      </c>
      <c r="E17" s="20" t="s">
        <v>17</v>
      </c>
      <c r="G17" s="21">
        <v>2</v>
      </c>
      <c r="H17" s="21">
        <v>2</v>
      </c>
      <c r="I17" s="21">
        <v>2</v>
      </c>
      <c r="J17" s="21">
        <v>2</v>
      </c>
      <c r="K17" s="22">
        <v>2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1">
        <v>0</v>
      </c>
    </row>
    <row r="18" spans="2:30" x14ac:dyDescent="0.25">
      <c r="B18" s="20" t="s">
        <v>27</v>
      </c>
      <c r="E18" s="20" t="s">
        <v>166</v>
      </c>
      <c r="G18" s="21">
        <v>2</v>
      </c>
      <c r="H18" s="21">
        <v>2</v>
      </c>
      <c r="I18" s="21">
        <v>2</v>
      </c>
      <c r="J18" s="21">
        <v>2</v>
      </c>
      <c r="K18" s="25">
        <v>2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1">
        <v>0</v>
      </c>
    </row>
    <row r="19" spans="2:30" x14ac:dyDescent="0.25">
      <c r="B19" s="19" t="s">
        <v>29</v>
      </c>
      <c r="C19" s="1" t="s">
        <v>167</v>
      </c>
      <c r="E19" s="20" t="s">
        <v>17</v>
      </c>
      <c r="G19" s="21">
        <v>2</v>
      </c>
      <c r="H19" s="21">
        <v>2</v>
      </c>
      <c r="I19" s="21">
        <v>2</v>
      </c>
      <c r="J19" s="21">
        <v>2</v>
      </c>
      <c r="K19" s="22">
        <v>2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1">
        <v>0</v>
      </c>
    </row>
    <row r="20" spans="2:30" ht="17.25" customHeight="1" x14ac:dyDescent="0.25">
      <c r="B20" s="18"/>
      <c r="C20" s="19" t="s">
        <v>168</v>
      </c>
      <c r="E20" s="20" t="s">
        <v>14</v>
      </c>
      <c r="G20" s="21">
        <v>1</v>
      </c>
      <c r="H20" s="21">
        <v>1</v>
      </c>
      <c r="I20" s="21">
        <v>1</v>
      </c>
      <c r="J20" s="21">
        <v>1</v>
      </c>
      <c r="K20" s="21">
        <v>1</v>
      </c>
      <c r="L20" s="22">
        <v>1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1">
        <v>0</v>
      </c>
    </row>
    <row r="21" spans="2:30" x14ac:dyDescent="0.25">
      <c r="C21" s="19" t="s">
        <v>169</v>
      </c>
      <c r="E21" s="20" t="s">
        <v>16</v>
      </c>
      <c r="G21" s="21">
        <v>1</v>
      </c>
      <c r="H21" s="21">
        <v>1</v>
      </c>
      <c r="I21" s="21">
        <v>1</v>
      </c>
      <c r="J21" s="21">
        <v>1</v>
      </c>
      <c r="K21" s="21">
        <v>1</v>
      </c>
      <c r="L21" s="22">
        <v>1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1">
        <v>0</v>
      </c>
    </row>
    <row r="22" spans="2:30" x14ac:dyDescent="0.25">
      <c r="C22" s="19" t="s">
        <v>170</v>
      </c>
      <c r="E22" s="20" t="s">
        <v>17</v>
      </c>
      <c r="G22" s="21">
        <v>2</v>
      </c>
      <c r="H22" s="21">
        <v>2</v>
      </c>
      <c r="I22" s="21">
        <v>2</v>
      </c>
      <c r="J22" s="21">
        <v>2</v>
      </c>
      <c r="K22" s="21">
        <v>2</v>
      </c>
      <c r="L22" s="22">
        <v>2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1">
        <v>0</v>
      </c>
    </row>
    <row r="23" spans="2:30" x14ac:dyDescent="0.25">
      <c r="C23" s="19" t="s">
        <v>171</v>
      </c>
      <c r="E23" s="20" t="s">
        <v>18</v>
      </c>
      <c r="G23" s="21">
        <v>2</v>
      </c>
      <c r="H23" s="21">
        <v>2</v>
      </c>
      <c r="I23" s="21">
        <v>2</v>
      </c>
      <c r="J23" s="21">
        <v>2</v>
      </c>
      <c r="K23" s="21">
        <v>2</v>
      </c>
      <c r="L23" s="21">
        <v>2</v>
      </c>
      <c r="M23" s="22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1">
        <v>0</v>
      </c>
    </row>
    <row r="24" spans="2:30" x14ac:dyDescent="0.25">
      <c r="C24" s="19" t="s">
        <v>172</v>
      </c>
      <c r="E24" s="20" t="s">
        <v>16</v>
      </c>
      <c r="G24" s="21">
        <v>2</v>
      </c>
      <c r="H24" s="21">
        <v>2</v>
      </c>
      <c r="I24" s="21">
        <v>2</v>
      </c>
      <c r="J24" s="21">
        <v>2</v>
      </c>
      <c r="K24" s="21">
        <v>2</v>
      </c>
      <c r="L24" s="21">
        <v>2</v>
      </c>
      <c r="M24" s="22">
        <v>2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1">
        <v>0</v>
      </c>
    </row>
    <row r="25" spans="2:30" x14ac:dyDescent="0.25">
      <c r="C25" s="20" t="s">
        <v>173</v>
      </c>
      <c r="E25" s="20" t="s">
        <v>15</v>
      </c>
      <c r="G25" s="21">
        <v>2</v>
      </c>
      <c r="H25" s="21">
        <v>2</v>
      </c>
      <c r="I25" s="21">
        <v>2</v>
      </c>
      <c r="J25" s="21">
        <v>2</v>
      </c>
      <c r="K25" s="21">
        <v>2</v>
      </c>
      <c r="L25" s="21">
        <v>2</v>
      </c>
      <c r="M25" s="26">
        <v>2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1">
        <v>0</v>
      </c>
    </row>
    <row r="26" spans="2:30" x14ac:dyDescent="0.25">
      <c r="C26" s="21" t="s">
        <v>174</v>
      </c>
      <c r="E26" s="20" t="s">
        <v>25</v>
      </c>
      <c r="G26" s="21">
        <v>4</v>
      </c>
      <c r="H26" s="21">
        <v>4</v>
      </c>
      <c r="I26" s="21">
        <v>4</v>
      </c>
      <c r="J26" s="21">
        <v>4</v>
      </c>
      <c r="K26" s="21">
        <v>4</v>
      </c>
      <c r="L26" s="21">
        <v>4</v>
      </c>
      <c r="M26" s="22">
        <v>4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1">
        <v>0</v>
      </c>
    </row>
    <row r="27" spans="2:30" x14ac:dyDescent="0.25">
      <c r="B27" s="1" t="s">
        <v>39</v>
      </c>
      <c r="C27" s="21" t="s">
        <v>175</v>
      </c>
      <c r="E27" s="20" t="s">
        <v>17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2">
        <v>1</v>
      </c>
      <c r="N27" s="21">
        <v>1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1">
        <v>0</v>
      </c>
    </row>
    <row r="28" spans="2:30" x14ac:dyDescent="0.25">
      <c r="C28" s="21" t="s">
        <v>176</v>
      </c>
      <c r="E28" s="20" t="s">
        <v>14</v>
      </c>
      <c r="G28" s="21">
        <v>1</v>
      </c>
      <c r="H28" s="21">
        <v>1</v>
      </c>
      <c r="I28" s="21">
        <v>1</v>
      </c>
      <c r="J28" s="21">
        <v>1</v>
      </c>
      <c r="K28" s="21">
        <v>1</v>
      </c>
      <c r="L28" s="21">
        <v>1</v>
      </c>
      <c r="M28" s="22">
        <v>1</v>
      </c>
      <c r="N28" s="21">
        <v>1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1">
        <v>0</v>
      </c>
    </row>
    <row r="29" spans="2:30" x14ac:dyDescent="0.25">
      <c r="C29" s="21" t="s">
        <v>177</v>
      </c>
      <c r="E29" s="20" t="s">
        <v>16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2">
        <v>1</v>
      </c>
      <c r="N29" s="21">
        <v>1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1">
        <v>0</v>
      </c>
    </row>
    <row r="30" spans="2:30" x14ac:dyDescent="0.25">
      <c r="C30" s="20" t="s">
        <v>178</v>
      </c>
      <c r="E30" s="20" t="s">
        <v>17</v>
      </c>
      <c r="G30" s="21">
        <v>1</v>
      </c>
      <c r="H30" s="21">
        <v>1</v>
      </c>
      <c r="I30" s="21">
        <v>1</v>
      </c>
      <c r="J30" s="21">
        <v>1</v>
      </c>
      <c r="K30" s="21">
        <v>1</v>
      </c>
      <c r="L30" s="21">
        <v>1</v>
      </c>
      <c r="M30" s="26">
        <v>1</v>
      </c>
      <c r="N30" s="21">
        <v>1</v>
      </c>
      <c r="O30" s="21">
        <v>1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1">
        <v>0</v>
      </c>
    </row>
    <row r="31" spans="2:30" x14ac:dyDescent="0.25">
      <c r="C31" s="21" t="s">
        <v>179</v>
      </c>
      <c r="E31" s="20" t="s">
        <v>18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2">
        <v>1</v>
      </c>
      <c r="N31" s="21">
        <v>1</v>
      </c>
      <c r="O31" s="21">
        <v>1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1">
        <v>0</v>
      </c>
    </row>
    <row r="32" spans="2:30" x14ac:dyDescent="0.25">
      <c r="C32" s="19" t="s">
        <v>180</v>
      </c>
      <c r="E32" s="20" t="s">
        <v>16</v>
      </c>
      <c r="G32" s="21">
        <v>1</v>
      </c>
      <c r="H32" s="21">
        <v>1</v>
      </c>
      <c r="I32" s="21">
        <v>1</v>
      </c>
      <c r="J32" s="21">
        <v>1</v>
      </c>
      <c r="K32" s="21">
        <v>1</v>
      </c>
      <c r="L32" s="21">
        <v>1</v>
      </c>
      <c r="M32" s="21">
        <v>1</v>
      </c>
      <c r="N32" s="22">
        <v>1</v>
      </c>
      <c r="O32" s="21">
        <v>1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1">
        <v>0</v>
      </c>
    </row>
    <row r="33" spans="2:30" x14ac:dyDescent="0.25">
      <c r="C33" s="20" t="s">
        <v>181</v>
      </c>
      <c r="E33" s="20" t="s">
        <v>15</v>
      </c>
      <c r="G33" s="21">
        <v>2</v>
      </c>
      <c r="H33" s="21">
        <v>2</v>
      </c>
      <c r="I33" s="21">
        <v>2</v>
      </c>
      <c r="J33" s="21">
        <v>2</v>
      </c>
      <c r="K33" s="21">
        <v>2</v>
      </c>
      <c r="L33" s="21">
        <v>2</v>
      </c>
      <c r="M33" s="21">
        <v>2</v>
      </c>
      <c r="N33" s="25">
        <v>2</v>
      </c>
      <c r="O33" s="21">
        <v>2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1">
        <v>0</v>
      </c>
    </row>
    <row r="34" spans="2:30" x14ac:dyDescent="0.25">
      <c r="B34" s="18"/>
      <c r="C34" s="19" t="s">
        <v>182</v>
      </c>
      <c r="E34" s="20" t="s">
        <v>25</v>
      </c>
      <c r="G34" s="21">
        <v>7</v>
      </c>
      <c r="H34" s="21">
        <v>7</v>
      </c>
      <c r="I34" s="21">
        <v>7</v>
      </c>
      <c r="J34" s="21">
        <v>7</v>
      </c>
      <c r="K34" s="21">
        <v>7</v>
      </c>
      <c r="L34" s="21">
        <v>7</v>
      </c>
      <c r="M34" s="21">
        <v>7</v>
      </c>
      <c r="N34" s="21">
        <v>7</v>
      </c>
      <c r="O34" s="22">
        <v>7</v>
      </c>
      <c r="P34" s="21">
        <v>4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1">
        <v>0</v>
      </c>
    </row>
    <row r="35" spans="2:30" x14ac:dyDescent="0.25">
      <c r="B35" s="1" t="s">
        <v>49</v>
      </c>
      <c r="C35" s="19" t="s">
        <v>183</v>
      </c>
      <c r="E35" s="20" t="s">
        <v>17</v>
      </c>
      <c r="G35" s="21">
        <v>2</v>
      </c>
      <c r="H35" s="21">
        <v>2</v>
      </c>
      <c r="I35" s="21">
        <v>2</v>
      </c>
      <c r="J35" s="21">
        <v>2</v>
      </c>
      <c r="K35" s="21">
        <v>2</v>
      </c>
      <c r="L35" s="21">
        <v>2</v>
      </c>
      <c r="M35" s="21">
        <v>2</v>
      </c>
      <c r="N35" s="21">
        <v>2</v>
      </c>
      <c r="O35" s="22">
        <v>2</v>
      </c>
      <c r="P35" s="21">
        <v>2</v>
      </c>
      <c r="Q35" s="21">
        <v>2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1">
        <v>0</v>
      </c>
    </row>
    <row r="36" spans="2:30" x14ac:dyDescent="0.25">
      <c r="C36" s="19" t="s">
        <v>184</v>
      </c>
      <c r="E36" s="20" t="s">
        <v>17</v>
      </c>
      <c r="G36" s="21">
        <v>2</v>
      </c>
      <c r="H36" s="21">
        <v>2</v>
      </c>
      <c r="I36" s="21">
        <v>2</v>
      </c>
      <c r="J36" s="21">
        <v>2</v>
      </c>
      <c r="K36" s="21">
        <v>2</v>
      </c>
      <c r="L36" s="21">
        <v>2</v>
      </c>
      <c r="M36" s="21">
        <v>2</v>
      </c>
      <c r="N36" s="21">
        <v>2</v>
      </c>
      <c r="O36" s="22">
        <v>2</v>
      </c>
      <c r="P36" s="21">
        <v>2</v>
      </c>
      <c r="Q36" s="21">
        <v>2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1">
        <v>0</v>
      </c>
    </row>
    <row r="37" spans="2:30" x14ac:dyDescent="0.25">
      <c r="C37" s="19" t="s">
        <v>185</v>
      </c>
      <c r="E37" s="20" t="s">
        <v>14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2">
        <v>1</v>
      </c>
      <c r="Q37" s="21">
        <v>1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1">
        <v>0</v>
      </c>
    </row>
    <row r="38" spans="2:30" x14ac:dyDescent="0.25">
      <c r="C38" s="19" t="s">
        <v>186</v>
      </c>
      <c r="E38" s="20" t="s">
        <v>14</v>
      </c>
      <c r="G38" s="21">
        <v>2</v>
      </c>
      <c r="H38" s="21">
        <v>2</v>
      </c>
      <c r="I38" s="21">
        <v>2</v>
      </c>
      <c r="J38" s="21">
        <v>2</v>
      </c>
      <c r="K38" s="21">
        <v>2</v>
      </c>
      <c r="L38" s="21">
        <v>2</v>
      </c>
      <c r="M38" s="21">
        <v>2</v>
      </c>
      <c r="N38" s="21">
        <v>2</v>
      </c>
      <c r="O38" s="21">
        <v>2</v>
      </c>
      <c r="P38" s="22">
        <v>2</v>
      </c>
      <c r="Q38" s="21">
        <v>2</v>
      </c>
      <c r="R38" s="21">
        <v>2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1">
        <v>0</v>
      </c>
    </row>
    <row r="39" spans="2:30" x14ac:dyDescent="0.25">
      <c r="C39" s="20" t="s">
        <v>187</v>
      </c>
      <c r="E39" s="20" t="s">
        <v>16</v>
      </c>
      <c r="G39" s="21">
        <v>2</v>
      </c>
      <c r="H39" s="21">
        <v>2</v>
      </c>
      <c r="I39" s="21">
        <v>2</v>
      </c>
      <c r="J39" s="21">
        <v>2</v>
      </c>
      <c r="K39" s="21">
        <v>2</v>
      </c>
      <c r="L39" s="21">
        <v>2</v>
      </c>
      <c r="M39" s="21">
        <v>2</v>
      </c>
      <c r="N39" s="21">
        <v>2</v>
      </c>
      <c r="O39" s="21">
        <v>2</v>
      </c>
      <c r="P39" s="26">
        <v>2</v>
      </c>
      <c r="Q39" s="21">
        <v>2</v>
      </c>
      <c r="R39" s="21">
        <v>2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1">
        <v>0</v>
      </c>
    </row>
    <row r="40" spans="2:30" x14ac:dyDescent="0.25">
      <c r="C40" s="21" t="s">
        <v>188</v>
      </c>
      <c r="E40" s="20" t="s">
        <v>16</v>
      </c>
      <c r="G40" s="21">
        <v>2</v>
      </c>
      <c r="H40" s="21">
        <v>2</v>
      </c>
      <c r="I40" s="21">
        <v>2</v>
      </c>
      <c r="J40" s="21">
        <v>2</v>
      </c>
      <c r="K40" s="21">
        <v>2</v>
      </c>
      <c r="L40" s="21">
        <v>2</v>
      </c>
      <c r="M40" s="21">
        <v>2</v>
      </c>
      <c r="N40" s="21">
        <v>2</v>
      </c>
      <c r="O40" s="21">
        <v>2</v>
      </c>
      <c r="P40" s="22">
        <v>2</v>
      </c>
      <c r="Q40" s="21">
        <v>2</v>
      </c>
      <c r="R40" s="21">
        <v>2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1">
        <v>0</v>
      </c>
    </row>
    <row r="41" spans="2:30" x14ac:dyDescent="0.25">
      <c r="C41" s="19" t="s">
        <v>189</v>
      </c>
      <c r="E41" s="20" t="s">
        <v>17</v>
      </c>
      <c r="G41" s="21">
        <v>2</v>
      </c>
      <c r="H41" s="21">
        <v>2</v>
      </c>
      <c r="I41" s="21">
        <v>2</v>
      </c>
      <c r="J41" s="21">
        <v>2</v>
      </c>
      <c r="K41" s="21">
        <v>2</v>
      </c>
      <c r="L41" s="21">
        <v>2</v>
      </c>
      <c r="M41" s="21">
        <v>2</v>
      </c>
      <c r="N41" s="21">
        <v>2</v>
      </c>
      <c r="O41" s="21">
        <v>2</v>
      </c>
      <c r="P41" s="22">
        <v>2</v>
      </c>
      <c r="Q41" s="21">
        <v>2</v>
      </c>
      <c r="R41" s="21">
        <v>2</v>
      </c>
      <c r="S41" s="21">
        <v>2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1">
        <v>0</v>
      </c>
    </row>
    <row r="42" spans="2:30" x14ac:dyDescent="0.25">
      <c r="C42" s="19" t="s">
        <v>190</v>
      </c>
      <c r="E42" s="20" t="s">
        <v>17</v>
      </c>
      <c r="G42" s="21">
        <v>2</v>
      </c>
      <c r="H42" s="21">
        <v>2</v>
      </c>
      <c r="I42" s="21">
        <v>2</v>
      </c>
      <c r="J42" s="21">
        <v>2</v>
      </c>
      <c r="K42" s="21">
        <v>2</v>
      </c>
      <c r="L42" s="21">
        <v>2</v>
      </c>
      <c r="M42" s="21">
        <v>2</v>
      </c>
      <c r="N42" s="21">
        <v>2</v>
      </c>
      <c r="O42" s="21">
        <v>2</v>
      </c>
      <c r="P42" s="22">
        <v>2</v>
      </c>
      <c r="Q42" s="21">
        <v>2</v>
      </c>
      <c r="R42" s="21">
        <v>2</v>
      </c>
      <c r="S42" s="21">
        <v>2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1">
        <v>0</v>
      </c>
    </row>
    <row r="43" spans="2:30" x14ac:dyDescent="0.25">
      <c r="C43" s="21" t="s">
        <v>191</v>
      </c>
      <c r="E43" s="20" t="s">
        <v>18</v>
      </c>
      <c r="G43" s="21">
        <v>2</v>
      </c>
      <c r="H43" s="21">
        <v>2</v>
      </c>
      <c r="I43" s="21">
        <v>2</v>
      </c>
      <c r="J43" s="21">
        <v>2</v>
      </c>
      <c r="K43" s="21">
        <v>2</v>
      </c>
      <c r="L43" s="21">
        <v>2</v>
      </c>
      <c r="M43" s="21">
        <v>2</v>
      </c>
      <c r="N43" s="21">
        <v>2</v>
      </c>
      <c r="O43" s="21">
        <v>2</v>
      </c>
      <c r="P43" s="22">
        <v>2</v>
      </c>
      <c r="Q43" s="21">
        <v>2</v>
      </c>
      <c r="R43" s="21">
        <v>2</v>
      </c>
      <c r="S43" s="21">
        <v>2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1">
        <v>0</v>
      </c>
    </row>
    <row r="44" spans="2:30" x14ac:dyDescent="0.25">
      <c r="C44" s="21" t="s">
        <v>192</v>
      </c>
      <c r="E44" s="20" t="s">
        <v>18</v>
      </c>
      <c r="G44" s="21">
        <v>3</v>
      </c>
      <c r="H44" s="21">
        <v>3</v>
      </c>
      <c r="I44" s="21">
        <v>3</v>
      </c>
      <c r="J44" s="21">
        <v>3</v>
      </c>
      <c r="K44" s="21">
        <v>3</v>
      </c>
      <c r="L44" s="21">
        <v>3</v>
      </c>
      <c r="M44" s="21">
        <v>3</v>
      </c>
      <c r="N44" s="21">
        <v>3</v>
      </c>
      <c r="O44" s="21">
        <v>3</v>
      </c>
      <c r="P44" s="22">
        <v>3</v>
      </c>
      <c r="Q44" s="21">
        <v>3</v>
      </c>
      <c r="R44" s="21">
        <v>3</v>
      </c>
      <c r="S44" s="21">
        <v>3</v>
      </c>
      <c r="T44" s="21">
        <v>3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1">
        <v>0</v>
      </c>
    </row>
    <row r="45" spans="2:30" x14ac:dyDescent="0.25">
      <c r="C45" s="19" t="s">
        <v>193</v>
      </c>
      <c r="E45" s="20" t="s">
        <v>16</v>
      </c>
      <c r="G45" s="21">
        <v>2</v>
      </c>
      <c r="H45" s="21">
        <v>2</v>
      </c>
      <c r="I45" s="21">
        <v>2</v>
      </c>
      <c r="J45" s="21">
        <v>2</v>
      </c>
      <c r="K45" s="21">
        <v>2</v>
      </c>
      <c r="L45" s="21">
        <v>2</v>
      </c>
      <c r="M45" s="21">
        <v>2</v>
      </c>
      <c r="N45" s="21">
        <v>2</v>
      </c>
      <c r="O45" s="21">
        <v>2</v>
      </c>
      <c r="P45" s="21">
        <v>2</v>
      </c>
      <c r="Q45" s="22">
        <v>2</v>
      </c>
      <c r="R45" s="21">
        <v>2</v>
      </c>
      <c r="S45" s="21">
        <v>2</v>
      </c>
      <c r="T45" s="21">
        <v>2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1">
        <v>0</v>
      </c>
    </row>
    <row r="46" spans="2:30" x14ac:dyDescent="0.25">
      <c r="C46" s="20" t="s">
        <v>194</v>
      </c>
      <c r="E46" s="20" t="s">
        <v>16</v>
      </c>
      <c r="G46" s="21">
        <v>2</v>
      </c>
      <c r="H46" s="21">
        <v>2</v>
      </c>
      <c r="I46" s="21">
        <v>2</v>
      </c>
      <c r="J46" s="21">
        <v>2</v>
      </c>
      <c r="K46" s="21">
        <v>2</v>
      </c>
      <c r="L46" s="21">
        <v>2</v>
      </c>
      <c r="M46" s="21">
        <v>2</v>
      </c>
      <c r="N46" s="21">
        <v>2</v>
      </c>
      <c r="O46" s="21">
        <v>2</v>
      </c>
      <c r="P46" s="21">
        <v>2</v>
      </c>
      <c r="Q46" s="25">
        <v>2</v>
      </c>
      <c r="R46" s="21">
        <v>2</v>
      </c>
      <c r="S46" s="21">
        <v>2</v>
      </c>
      <c r="T46" s="21">
        <v>2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1">
        <v>0</v>
      </c>
    </row>
    <row r="47" spans="2:30" x14ac:dyDescent="0.25">
      <c r="B47" s="18"/>
      <c r="C47" s="19" t="s">
        <v>195</v>
      </c>
      <c r="E47" s="20" t="s">
        <v>15</v>
      </c>
      <c r="G47" s="21">
        <v>2</v>
      </c>
      <c r="H47" s="21">
        <v>2</v>
      </c>
      <c r="I47" s="21">
        <v>2</v>
      </c>
      <c r="J47" s="21">
        <v>2</v>
      </c>
      <c r="K47" s="21">
        <v>2</v>
      </c>
      <c r="L47" s="21">
        <v>2</v>
      </c>
      <c r="M47" s="21">
        <v>2</v>
      </c>
      <c r="N47" s="21">
        <v>2</v>
      </c>
      <c r="O47" s="21">
        <v>2</v>
      </c>
      <c r="P47" s="21">
        <v>2</v>
      </c>
      <c r="Q47" s="21">
        <v>2</v>
      </c>
      <c r="R47" s="22">
        <v>2</v>
      </c>
      <c r="S47" s="21">
        <v>2</v>
      </c>
      <c r="T47" s="21">
        <v>2</v>
      </c>
      <c r="U47" s="21">
        <v>2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1">
        <v>0</v>
      </c>
    </row>
    <row r="48" spans="2:30" x14ac:dyDescent="0.25">
      <c r="C48" s="19" t="s">
        <v>196</v>
      </c>
      <c r="E48" s="20" t="s">
        <v>15</v>
      </c>
      <c r="G48" s="21">
        <v>2</v>
      </c>
      <c r="H48" s="21">
        <v>2</v>
      </c>
      <c r="I48" s="21">
        <v>2</v>
      </c>
      <c r="J48" s="21">
        <v>2</v>
      </c>
      <c r="K48" s="21">
        <v>2</v>
      </c>
      <c r="L48" s="21">
        <v>2</v>
      </c>
      <c r="M48" s="21">
        <v>2</v>
      </c>
      <c r="N48" s="21">
        <v>2</v>
      </c>
      <c r="O48" s="21">
        <v>2</v>
      </c>
      <c r="P48" s="21">
        <v>2</v>
      </c>
      <c r="Q48" s="21">
        <v>2</v>
      </c>
      <c r="R48" s="22">
        <v>2</v>
      </c>
      <c r="S48" s="21">
        <v>2</v>
      </c>
      <c r="T48" s="21">
        <v>2</v>
      </c>
      <c r="U48" s="21">
        <v>2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1">
        <v>0</v>
      </c>
    </row>
    <row r="49" spans="2:30" x14ac:dyDescent="0.25">
      <c r="C49" s="19" t="s">
        <v>64</v>
      </c>
      <c r="E49" s="20" t="s">
        <v>65</v>
      </c>
      <c r="G49" s="21">
        <v>8</v>
      </c>
      <c r="H49" s="21">
        <v>8</v>
      </c>
      <c r="I49" s="21">
        <v>8</v>
      </c>
      <c r="J49" s="21">
        <v>8</v>
      </c>
      <c r="K49" s="21">
        <v>8</v>
      </c>
      <c r="L49" s="21">
        <v>8</v>
      </c>
      <c r="M49" s="21">
        <v>8</v>
      </c>
      <c r="N49" s="21">
        <v>8</v>
      </c>
      <c r="O49" s="21">
        <v>8</v>
      </c>
      <c r="P49" s="21">
        <v>8</v>
      </c>
      <c r="Q49" s="21">
        <v>8</v>
      </c>
      <c r="R49" s="21">
        <v>8</v>
      </c>
      <c r="S49" s="22">
        <v>8</v>
      </c>
      <c r="T49" s="21">
        <v>8</v>
      </c>
      <c r="U49" s="21">
        <v>8</v>
      </c>
      <c r="V49" s="21">
        <v>4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1">
        <v>0</v>
      </c>
    </row>
    <row r="50" spans="2:30" x14ac:dyDescent="0.25">
      <c r="B50" s="1" t="s">
        <v>66</v>
      </c>
      <c r="C50" s="20" t="s">
        <v>197</v>
      </c>
      <c r="E50" s="20" t="s">
        <v>17</v>
      </c>
      <c r="G50" s="21">
        <v>1</v>
      </c>
      <c r="H50" s="21">
        <v>1</v>
      </c>
      <c r="I50" s="21">
        <v>1</v>
      </c>
      <c r="J50" s="21">
        <v>1</v>
      </c>
      <c r="K50" s="21">
        <v>1</v>
      </c>
      <c r="L50" s="21">
        <v>1</v>
      </c>
      <c r="M50" s="21">
        <v>1</v>
      </c>
      <c r="N50" s="21">
        <v>1</v>
      </c>
      <c r="O50" s="21">
        <v>1</v>
      </c>
      <c r="P50" s="21">
        <v>1</v>
      </c>
      <c r="Q50" s="21">
        <v>1</v>
      </c>
      <c r="R50" s="21">
        <v>1</v>
      </c>
      <c r="S50" s="25">
        <v>1</v>
      </c>
      <c r="T50" s="21">
        <v>1</v>
      </c>
      <c r="U50" s="21">
        <v>1</v>
      </c>
      <c r="V50" s="21">
        <v>1</v>
      </c>
      <c r="W50" s="21">
        <v>1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1">
        <v>0</v>
      </c>
    </row>
    <row r="51" spans="2:30" x14ac:dyDescent="0.25">
      <c r="C51" s="19" t="s">
        <v>198</v>
      </c>
      <c r="E51" s="20" t="s">
        <v>14</v>
      </c>
      <c r="G51" s="21">
        <v>1</v>
      </c>
      <c r="H51" s="21">
        <v>1</v>
      </c>
      <c r="I51" s="21">
        <v>1</v>
      </c>
      <c r="J51" s="21">
        <v>1</v>
      </c>
      <c r="K51" s="21">
        <v>1</v>
      </c>
      <c r="L51" s="21">
        <v>1</v>
      </c>
      <c r="M51" s="21">
        <v>1</v>
      </c>
      <c r="N51" s="21">
        <v>1</v>
      </c>
      <c r="O51" s="21">
        <v>1</v>
      </c>
      <c r="P51" s="21">
        <v>1</v>
      </c>
      <c r="Q51" s="21">
        <v>1</v>
      </c>
      <c r="R51" s="21">
        <v>1</v>
      </c>
      <c r="S51" s="22">
        <v>1</v>
      </c>
      <c r="T51" s="21">
        <v>1</v>
      </c>
      <c r="U51" s="21">
        <v>1</v>
      </c>
      <c r="V51" s="21">
        <v>1</v>
      </c>
      <c r="W51" s="21">
        <v>1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1">
        <v>0</v>
      </c>
    </row>
    <row r="52" spans="2:30" x14ac:dyDescent="0.25">
      <c r="C52" s="19" t="s">
        <v>199</v>
      </c>
      <c r="E52" s="20" t="s">
        <v>16</v>
      </c>
      <c r="G52" s="21">
        <v>1</v>
      </c>
      <c r="H52" s="21">
        <v>1</v>
      </c>
      <c r="I52" s="21">
        <v>1</v>
      </c>
      <c r="J52" s="21">
        <v>1</v>
      </c>
      <c r="K52" s="21">
        <v>1</v>
      </c>
      <c r="L52" s="21">
        <v>1</v>
      </c>
      <c r="M52" s="21">
        <v>1</v>
      </c>
      <c r="N52" s="21">
        <v>1</v>
      </c>
      <c r="O52" s="21">
        <v>1</v>
      </c>
      <c r="P52" s="21">
        <v>1</v>
      </c>
      <c r="Q52" s="21">
        <v>1</v>
      </c>
      <c r="R52" s="21">
        <v>1</v>
      </c>
      <c r="S52" s="21">
        <v>1</v>
      </c>
      <c r="T52" s="22">
        <v>1</v>
      </c>
      <c r="U52" s="21">
        <v>1</v>
      </c>
      <c r="V52" s="21">
        <v>1</v>
      </c>
      <c r="W52" s="21">
        <v>1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1">
        <v>0</v>
      </c>
    </row>
    <row r="53" spans="2:30" x14ac:dyDescent="0.25">
      <c r="C53" s="19" t="s">
        <v>200</v>
      </c>
      <c r="E53" s="20" t="s">
        <v>17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2">
        <v>1</v>
      </c>
      <c r="U53" s="21">
        <v>1</v>
      </c>
      <c r="V53" s="21">
        <v>1</v>
      </c>
      <c r="W53" s="21">
        <v>1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1">
        <v>0</v>
      </c>
    </row>
    <row r="54" spans="2:30" x14ac:dyDescent="0.25">
      <c r="C54" s="19" t="s">
        <v>201</v>
      </c>
      <c r="E54" s="20" t="s">
        <v>18</v>
      </c>
      <c r="G54" s="21">
        <v>1</v>
      </c>
      <c r="H54" s="21">
        <v>1</v>
      </c>
      <c r="I54" s="21">
        <v>1</v>
      </c>
      <c r="J54" s="21">
        <v>1</v>
      </c>
      <c r="K54" s="21">
        <v>1</v>
      </c>
      <c r="L54" s="21">
        <v>1</v>
      </c>
      <c r="M54" s="21">
        <v>1</v>
      </c>
      <c r="N54" s="21">
        <v>1</v>
      </c>
      <c r="O54" s="21">
        <v>1</v>
      </c>
      <c r="P54" s="21">
        <v>1</v>
      </c>
      <c r="Q54" s="21">
        <v>1</v>
      </c>
      <c r="R54" s="21">
        <v>1</v>
      </c>
      <c r="S54" s="21">
        <v>1</v>
      </c>
      <c r="T54" s="22">
        <v>1</v>
      </c>
      <c r="U54" s="21">
        <v>1</v>
      </c>
      <c r="V54" s="21">
        <v>1</v>
      </c>
      <c r="W54" s="21">
        <v>1</v>
      </c>
      <c r="X54" s="21">
        <v>1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1">
        <v>0</v>
      </c>
    </row>
    <row r="55" spans="2:30" x14ac:dyDescent="0.25">
      <c r="C55" s="19" t="s">
        <v>202</v>
      </c>
      <c r="E55" s="20" t="s">
        <v>16</v>
      </c>
      <c r="G55" s="21">
        <v>1</v>
      </c>
      <c r="H55" s="21">
        <v>1</v>
      </c>
      <c r="I55" s="21">
        <v>1</v>
      </c>
      <c r="J55" s="21">
        <v>1</v>
      </c>
      <c r="K55" s="21">
        <v>1</v>
      </c>
      <c r="L55" s="21">
        <v>1</v>
      </c>
      <c r="M55" s="21">
        <v>1</v>
      </c>
      <c r="N55" s="21">
        <v>1</v>
      </c>
      <c r="O55" s="21">
        <v>1</v>
      </c>
      <c r="P55" s="21">
        <v>1</v>
      </c>
      <c r="Q55" s="21">
        <v>1</v>
      </c>
      <c r="R55" s="21">
        <v>1</v>
      </c>
      <c r="S55" s="21">
        <v>1</v>
      </c>
      <c r="T55" s="22">
        <v>1</v>
      </c>
      <c r="U55" s="21">
        <v>1</v>
      </c>
      <c r="V55" s="21">
        <v>1</v>
      </c>
      <c r="W55" s="21">
        <v>1</v>
      </c>
      <c r="X55" s="21">
        <v>1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1">
        <v>0</v>
      </c>
    </row>
    <row r="56" spans="2:30" x14ac:dyDescent="0.25">
      <c r="C56" s="19" t="s">
        <v>203</v>
      </c>
      <c r="E56" s="20" t="s">
        <v>15</v>
      </c>
      <c r="G56" s="21">
        <v>1</v>
      </c>
      <c r="H56" s="21">
        <v>1</v>
      </c>
      <c r="I56" s="21">
        <v>1</v>
      </c>
      <c r="J56" s="21">
        <v>1</v>
      </c>
      <c r="K56" s="21">
        <v>1</v>
      </c>
      <c r="L56" s="21">
        <v>1</v>
      </c>
      <c r="M56" s="21">
        <v>1</v>
      </c>
      <c r="N56" s="21">
        <v>1</v>
      </c>
      <c r="O56" s="21">
        <v>1</v>
      </c>
      <c r="P56" s="21">
        <v>1</v>
      </c>
      <c r="Q56" s="21">
        <v>1</v>
      </c>
      <c r="R56" s="21">
        <v>1</v>
      </c>
      <c r="S56" s="21">
        <v>1</v>
      </c>
      <c r="T56" s="21">
        <v>1</v>
      </c>
      <c r="U56" s="22">
        <v>1</v>
      </c>
      <c r="V56" s="21">
        <v>1</v>
      </c>
      <c r="W56" s="21">
        <v>1</v>
      </c>
      <c r="X56" s="21">
        <v>1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1">
        <v>0</v>
      </c>
    </row>
    <row r="57" spans="2:30" x14ac:dyDescent="0.25">
      <c r="B57" s="1" t="s">
        <v>75</v>
      </c>
      <c r="C57" s="20" t="s">
        <v>204</v>
      </c>
      <c r="E57" s="20" t="s">
        <v>101</v>
      </c>
      <c r="G57" s="21">
        <v>1</v>
      </c>
      <c r="H57" s="21">
        <v>1</v>
      </c>
      <c r="I57" s="21">
        <v>1</v>
      </c>
      <c r="J57" s="21">
        <v>1</v>
      </c>
      <c r="K57" s="21">
        <v>1</v>
      </c>
      <c r="L57" s="21">
        <v>1</v>
      </c>
      <c r="M57" s="21">
        <v>1</v>
      </c>
      <c r="N57" s="21">
        <v>1</v>
      </c>
      <c r="O57" s="21">
        <v>1</v>
      </c>
      <c r="P57" s="21">
        <v>1</v>
      </c>
      <c r="Q57" s="21">
        <v>1</v>
      </c>
      <c r="R57" s="21">
        <v>1</v>
      </c>
      <c r="S57" s="21">
        <v>1</v>
      </c>
      <c r="T57" s="21">
        <v>1</v>
      </c>
      <c r="U57" s="26">
        <v>1</v>
      </c>
      <c r="V57" s="21">
        <v>1</v>
      </c>
      <c r="W57" s="21">
        <v>1</v>
      </c>
      <c r="X57" s="21">
        <v>1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1">
        <v>0</v>
      </c>
    </row>
    <row r="58" spans="2:30" x14ac:dyDescent="0.25">
      <c r="C58" s="19" t="s">
        <v>205</v>
      </c>
      <c r="E58" s="20" t="s">
        <v>28</v>
      </c>
      <c r="G58" s="21">
        <v>1</v>
      </c>
      <c r="H58" s="21">
        <v>1</v>
      </c>
      <c r="I58" s="21">
        <v>1</v>
      </c>
      <c r="J58" s="21">
        <v>1</v>
      </c>
      <c r="K58" s="21">
        <v>1</v>
      </c>
      <c r="L58" s="21">
        <v>1</v>
      </c>
      <c r="M58" s="21">
        <v>1</v>
      </c>
      <c r="N58" s="21">
        <v>1</v>
      </c>
      <c r="O58" s="21">
        <v>1</v>
      </c>
      <c r="P58" s="21">
        <v>1</v>
      </c>
      <c r="Q58" s="21">
        <v>1</v>
      </c>
      <c r="R58" s="21">
        <v>1</v>
      </c>
      <c r="S58" s="21">
        <v>1</v>
      </c>
      <c r="T58" s="21">
        <v>1</v>
      </c>
      <c r="U58" s="22">
        <v>1</v>
      </c>
      <c r="V58" s="21">
        <v>1</v>
      </c>
      <c r="W58" s="21">
        <v>1</v>
      </c>
      <c r="X58" s="21">
        <v>1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1">
        <v>0</v>
      </c>
    </row>
    <row r="59" spans="2:30" x14ac:dyDescent="0.25">
      <c r="C59" s="19" t="s">
        <v>206</v>
      </c>
      <c r="E59" s="20" t="s">
        <v>82</v>
      </c>
      <c r="G59" s="21">
        <v>2</v>
      </c>
      <c r="H59" s="21">
        <v>2</v>
      </c>
      <c r="I59" s="21">
        <v>2</v>
      </c>
      <c r="J59" s="21">
        <v>2</v>
      </c>
      <c r="K59" s="21">
        <v>2</v>
      </c>
      <c r="L59" s="21">
        <v>2</v>
      </c>
      <c r="M59" s="21">
        <v>2</v>
      </c>
      <c r="N59" s="21">
        <v>2</v>
      </c>
      <c r="O59" s="21">
        <v>2</v>
      </c>
      <c r="P59" s="21">
        <v>2</v>
      </c>
      <c r="Q59" s="21">
        <v>2</v>
      </c>
      <c r="R59" s="21">
        <v>2</v>
      </c>
      <c r="S59" s="21">
        <v>2</v>
      </c>
      <c r="T59" s="21">
        <v>2</v>
      </c>
      <c r="U59" s="22">
        <v>2</v>
      </c>
      <c r="V59" s="21">
        <v>2</v>
      </c>
      <c r="W59" s="21">
        <v>2</v>
      </c>
      <c r="X59" s="21">
        <v>2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1">
        <v>0</v>
      </c>
    </row>
    <row r="60" spans="2:30" x14ac:dyDescent="0.25">
      <c r="C60" s="19" t="s">
        <v>207</v>
      </c>
      <c r="E60" s="20" t="s">
        <v>208</v>
      </c>
      <c r="G60" s="21">
        <v>2</v>
      </c>
      <c r="H60" s="21">
        <v>2</v>
      </c>
      <c r="I60" s="21">
        <v>2</v>
      </c>
      <c r="J60" s="21">
        <v>2</v>
      </c>
      <c r="K60" s="21">
        <v>2</v>
      </c>
      <c r="L60" s="21">
        <v>2</v>
      </c>
      <c r="M60" s="21">
        <v>2</v>
      </c>
      <c r="N60" s="21">
        <v>2</v>
      </c>
      <c r="O60" s="21">
        <v>2</v>
      </c>
      <c r="P60" s="21">
        <v>2</v>
      </c>
      <c r="Q60" s="21">
        <v>2</v>
      </c>
      <c r="R60" s="21">
        <v>2</v>
      </c>
      <c r="S60" s="21">
        <v>2</v>
      </c>
      <c r="T60" s="21">
        <v>2</v>
      </c>
      <c r="U60" s="22">
        <v>2</v>
      </c>
      <c r="V60" s="21">
        <v>2</v>
      </c>
      <c r="W60" s="21">
        <v>2</v>
      </c>
      <c r="X60" s="21">
        <v>2</v>
      </c>
      <c r="Y60" s="21">
        <v>2</v>
      </c>
      <c r="Z60" s="21">
        <v>0</v>
      </c>
      <c r="AA60" s="21">
        <v>0</v>
      </c>
      <c r="AB60" s="21">
        <v>0</v>
      </c>
      <c r="AC60" s="21">
        <v>0</v>
      </c>
      <c r="AD60" s="1">
        <v>0</v>
      </c>
    </row>
    <row r="61" spans="2:30" x14ac:dyDescent="0.25">
      <c r="C61" s="20" t="s">
        <v>209</v>
      </c>
      <c r="E61" s="20" t="s">
        <v>210</v>
      </c>
      <c r="G61" s="21">
        <v>1</v>
      </c>
      <c r="H61" s="21">
        <v>1</v>
      </c>
      <c r="I61" s="21">
        <v>1</v>
      </c>
      <c r="J61" s="21">
        <v>1</v>
      </c>
      <c r="K61" s="21">
        <v>1</v>
      </c>
      <c r="L61" s="21">
        <v>1</v>
      </c>
      <c r="M61" s="21">
        <v>1</v>
      </c>
      <c r="N61" s="21">
        <v>1</v>
      </c>
      <c r="O61" s="21">
        <v>1</v>
      </c>
      <c r="P61" s="21">
        <v>1</v>
      </c>
      <c r="Q61" s="21">
        <v>1</v>
      </c>
      <c r="R61" s="21">
        <v>1</v>
      </c>
      <c r="S61" s="21">
        <v>1</v>
      </c>
      <c r="T61" s="21">
        <v>1</v>
      </c>
      <c r="U61" s="26">
        <v>1</v>
      </c>
      <c r="V61" s="21">
        <v>1</v>
      </c>
      <c r="W61" s="21">
        <v>1</v>
      </c>
      <c r="X61" s="21">
        <v>1</v>
      </c>
      <c r="Y61" s="21">
        <v>1</v>
      </c>
      <c r="Z61" s="21">
        <v>0</v>
      </c>
      <c r="AA61" s="21">
        <v>0</v>
      </c>
      <c r="AB61" s="21">
        <v>0</v>
      </c>
      <c r="AC61" s="21">
        <v>0</v>
      </c>
      <c r="AD61" s="1">
        <v>0</v>
      </c>
    </row>
    <row r="62" spans="2:30" x14ac:dyDescent="0.25">
      <c r="C62" s="19" t="s">
        <v>211</v>
      </c>
      <c r="E62" s="20" t="s">
        <v>146</v>
      </c>
      <c r="G62" s="21">
        <v>2</v>
      </c>
      <c r="H62" s="21">
        <v>2</v>
      </c>
      <c r="I62" s="21">
        <v>2</v>
      </c>
      <c r="J62" s="21">
        <v>2</v>
      </c>
      <c r="K62" s="21">
        <v>2</v>
      </c>
      <c r="L62" s="21">
        <v>2</v>
      </c>
      <c r="M62" s="21">
        <v>2</v>
      </c>
      <c r="N62" s="21">
        <v>2</v>
      </c>
      <c r="O62" s="21">
        <v>2</v>
      </c>
      <c r="P62" s="21">
        <v>2</v>
      </c>
      <c r="Q62" s="21">
        <v>2</v>
      </c>
      <c r="R62" s="21">
        <v>2</v>
      </c>
      <c r="S62" s="21">
        <v>2</v>
      </c>
      <c r="T62" s="21">
        <v>2</v>
      </c>
      <c r="U62" s="21">
        <v>2</v>
      </c>
      <c r="V62" s="22">
        <v>2</v>
      </c>
      <c r="W62" s="21">
        <v>2</v>
      </c>
      <c r="X62" s="21">
        <v>2</v>
      </c>
      <c r="Y62" s="21">
        <v>2</v>
      </c>
      <c r="Z62" s="21">
        <v>0</v>
      </c>
      <c r="AA62" s="21">
        <v>0</v>
      </c>
      <c r="AB62" s="21">
        <v>0</v>
      </c>
      <c r="AC62" s="21">
        <v>0</v>
      </c>
      <c r="AD62" s="1">
        <v>0</v>
      </c>
    </row>
    <row r="63" spans="2:30" x14ac:dyDescent="0.25">
      <c r="B63" s="1" t="s">
        <v>85</v>
      </c>
      <c r="C63" s="19" t="s">
        <v>212</v>
      </c>
      <c r="E63" s="20" t="s">
        <v>17</v>
      </c>
      <c r="G63" s="21">
        <v>1</v>
      </c>
      <c r="H63" s="21">
        <v>1</v>
      </c>
      <c r="I63" s="21">
        <v>1</v>
      </c>
      <c r="J63" s="21">
        <v>1</v>
      </c>
      <c r="K63" s="21">
        <v>1</v>
      </c>
      <c r="L63" s="21">
        <v>1</v>
      </c>
      <c r="M63" s="21">
        <v>1</v>
      </c>
      <c r="N63" s="21">
        <v>1</v>
      </c>
      <c r="O63" s="21">
        <v>1</v>
      </c>
      <c r="P63" s="21">
        <v>1</v>
      </c>
      <c r="Q63" s="21">
        <v>1</v>
      </c>
      <c r="R63" s="21">
        <v>1</v>
      </c>
      <c r="S63" s="21">
        <v>1</v>
      </c>
      <c r="T63" s="21">
        <v>1</v>
      </c>
      <c r="U63" s="21">
        <v>1</v>
      </c>
      <c r="V63" s="22">
        <v>1</v>
      </c>
      <c r="W63" s="21">
        <v>1</v>
      </c>
      <c r="X63" s="21">
        <v>1</v>
      </c>
      <c r="Y63" s="21">
        <v>1</v>
      </c>
      <c r="Z63" s="21">
        <v>1</v>
      </c>
      <c r="AA63" s="21">
        <v>0</v>
      </c>
      <c r="AB63" s="21">
        <v>0</v>
      </c>
      <c r="AC63" s="21">
        <v>0</v>
      </c>
      <c r="AD63" s="1">
        <v>0</v>
      </c>
    </row>
    <row r="64" spans="2:30" x14ac:dyDescent="0.25">
      <c r="C64" s="19" t="s">
        <v>213</v>
      </c>
      <c r="E64" s="20" t="s">
        <v>14</v>
      </c>
      <c r="G64" s="21">
        <v>1</v>
      </c>
      <c r="H64" s="21">
        <v>1</v>
      </c>
      <c r="I64" s="21">
        <v>1</v>
      </c>
      <c r="J64" s="21">
        <v>1</v>
      </c>
      <c r="K64" s="21">
        <v>1</v>
      </c>
      <c r="L64" s="21">
        <v>1</v>
      </c>
      <c r="M64" s="21">
        <v>1</v>
      </c>
      <c r="N64" s="21">
        <v>1</v>
      </c>
      <c r="O64" s="21">
        <v>1</v>
      </c>
      <c r="P64" s="21">
        <v>1</v>
      </c>
      <c r="Q64" s="21">
        <v>1</v>
      </c>
      <c r="R64" s="21">
        <v>1</v>
      </c>
      <c r="S64" s="21">
        <v>1</v>
      </c>
      <c r="T64" s="21">
        <v>1</v>
      </c>
      <c r="U64" s="21">
        <v>1</v>
      </c>
      <c r="V64" s="22">
        <v>1</v>
      </c>
      <c r="W64" s="21">
        <v>1</v>
      </c>
      <c r="X64" s="21">
        <v>1</v>
      </c>
      <c r="Y64" s="21">
        <v>1</v>
      </c>
      <c r="Z64" s="21">
        <v>1</v>
      </c>
      <c r="AA64" s="21">
        <v>0</v>
      </c>
      <c r="AB64" s="21">
        <v>0</v>
      </c>
      <c r="AC64" s="21">
        <v>0</v>
      </c>
      <c r="AD64" s="1">
        <v>0</v>
      </c>
    </row>
    <row r="65" spans="2:30" x14ac:dyDescent="0.25">
      <c r="C65" s="19" t="s">
        <v>214</v>
      </c>
      <c r="E65" s="20" t="s">
        <v>17</v>
      </c>
      <c r="G65" s="21">
        <v>2</v>
      </c>
      <c r="H65" s="21">
        <v>2</v>
      </c>
      <c r="I65" s="21">
        <v>2</v>
      </c>
      <c r="J65" s="21">
        <v>2</v>
      </c>
      <c r="K65" s="21">
        <v>2</v>
      </c>
      <c r="L65" s="21">
        <v>2</v>
      </c>
      <c r="M65" s="21">
        <v>2</v>
      </c>
      <c r="N65" s="21">
        <v>2</v>
      </c>
      <c r="O65" s="21">
        <v>2</v>
      </c>
      <c r="P65" s="21">
        <v>2</v>
      </c>
      <c r="Q65" s="21">
        <v>2</v>
      </c>
      <c r="R65" s="21">
        <v>2</v>
      </c>
      <c r="S65" s="21">
        <v>2</v>
      </c>
      <c r="T65" s="21">
        <v>2</v>
      </c>
      <c r="U65" s="21">
        <v>2</v>
      </c>
      <c r="V65" s="22">
        <v>2</v>
      </c>
      <c r="W65" s="21">
        <v>2</v>
      </c>
      <c r="X65" s="21">
        <v>2</v>
      </c>
      <c r="Y65" s="21">
        <v>2</v>
      </c>
      <c r="Z65" s="21">
        <v>2</v>
      </c>
      <c r="AA65" s="21">
        <v>0</v>
      </c>
      <c r="AB65" s="21">
        <v>0</v>
      </c>
      <c r="AC65" s="21">
        <v>0</v>
      </c>
      <c r="AD65" s="1">
        <v>0</v>
      </c>
    </row>
    <row r="66" spans="2:30" x14ac:dyDescent="0.25">
      <c r="C66" s="19" t="s">
        <v>215</v>
      </c>
      <c r="E66" s="20" t="s">
        <v>18</v>
      </c>
      <c r="G66" s="21">
        <v>2</v>
      </c>
      <c r="H66" s="21">
        <v>2</v>
      </c>
      <c r="I66" s="21">
        <v>2</v>
      </c>
      <c r="J66" s="21">
        <v>2</v>
      </c>
      <c r="K66" s="21">
        <v>2</v>
      </c>
      <c r="L66" s="21">
        <v>2</v>
      </c>
      <c r="M66" s="21">
        <v>2</v>
      </c>
      <c r="N66" s="21">
        <v>2</v>
      </c>
      <c r="O66" s="21">
        <v>2</v>
      </c>
      <c r="P66" s="21">
        <v>2</v>
      </c>
      <c r="Q66" s="21">
        <v>2</v>
      </c>
      <c r="R66" s="21">
        <v>2</v>
      </c>
      <c r="S66" s="21">
        <v>2</v>
      </c>
      <c r="T66" s="21">
        <v>2</v>
      </c>
      <c r="U66" s="21">
        <v>2</v>
      </c>
      <c r="V66" s="22">
        <v>2</v>
      </c>
      <c r="W66" s="21">
        <v>2</v>
      </c>
      <c r="X66" s="21">
        <v>2</v>
      </c>
      <c r="Y66" s="21">
        <v>2</v>
      </c>
      <c r="Z66" s="21">
        <v>2</v>
      </c>
      <c r="AA66" s="21">
        <v>0</v>
      </c>
      <c r="AB66" s="21">
        <v>0</v>
      </c>
      <c r="AC66" s="21">
        <v>0</v>
      </c>
      <c r="AD66" s="1">
        <v>0</v>
      </c>
    </row>
    <row r="67" spans="2:30" x14ac:dyDescent="0.25">
      <c r="C67" s="19" t="s">
        <v>216</v>
      </c>
      <c r="E67" s="20" t="s">
        <v>16</v>
      </c>
      <c r="G67" s="21">
        <v>2</v>
      </c>
      <c r="H67" s="21">
        <v>2</v>
      </c>
      <c r="I67" s="21">
        <v>2</v>
      </c>
      <c r="J67" s="21">
        <v>2</v>
      </c>
      <c r="K67" s="21">
        <v>2</v>
      </c>
      <c r="L67" s="21">
        <v>2</v>
      </c>
      <c r="M67" s="21">
        <v>2</v>
      </c>
      <c r="N67" s="21">
        <v>2</v>
      </c>
      <c r="O67" s="21">
        <v>2</v>
      </c>
      <c r="P67" s="21">
        <v>2</v>
      </c>
      <c r="Q67" s="21">
        <v>2</v>
      </c>
      <c r="R67" s="21">
        <v>2</v>
      </c>
      <c r="S67" s="21">
        <v>2</v>
      </c>
      <c r="T67" s="21">
        <v>2</v>
      </c>
      <c r="U67" s="21">
        <v>2</v>
      </c>
      <c r="V67" s="22">
        <v>2</v>
      </c>
      <c r="W67" s="21">
        <v>2</v>
      </c>
      <c r="X67" s="21">
        <v>2</v>
      </c>
      <c r="Y67" s="21">
        <v>2</v>
      </c>
      <c r="Z67" s="21">
        <v>2</v>
      </c>
      <c r="AA67" s="21">
        <v>2</v>
      </c>
      <c r="AB67" s="21">
        <v>0</v>
      </c>
      <c r="AC67" s="21">
        <v>0</v>
      </c>
      <c r="AD67" s="1">
        <v>0</v>
      </c>
    </row>
    <row r="68" spans="2:30" x14ac:dyDescent="0.25">
      <c r="C68" s="19" t="s">
        <v>217</v>
      </c>
      <c r="E68" s="20" t="s">
        <v>15</v>
      </c>
      <c r="G68" s="21">
        <v>2</v>
      </c>
      <c r="H68" s="21">
        <v>2</v>
      </c>
      <c r="I68" s="21">
        <v>2</v>
      </c>
      <c r="J68" s="21">
        <v>2</v>
      </c>
      <c r="K68" s="21">
        <v>2</v>
      </c>
      <c r="L68" s="21">
        <v>2</v>
      </c>
      <c r="M68" s="21">
        <v>2</v>
      </c>
      <c r="N68" s="21">
        <v>2</v>
      </c>
      <c r="O68" s="21">
        <v>2</v>
      </c>
      <c r="P68" s="21">
        <v>2</v>
      </c>
      <c r="Q68" s="21">
        <v>2</v>
      </c>
      <c r="R68" s="21">
        <v>2</v>
      </c>
      <c r="S68" s="21">
        <v>2</v>
      </c>
      <c r="T68" s="21">
        <v>2</v>
      </c>
      <c r="U68" s="21">
        <v>2</v>
      </c>
      <c r="V68" s="22">
        <v>2</v>
      </c>
      <c r="W68" s="21">
        <v>2</v>
      </c>
      <c r="X68" s="21">
        <v>2</v>
      </c>
      <c r="Y68" s="21">
        <v>2</v>
      </c>
      <c r="Z68" s="21">
        <v>2</v>
      </c>
      <c r="AA68" s="21">
        <v>2</v>
      </c>
      <c r="AB68" s="21">
        <v>0</v>
      </c>
      <c r="AC68" s="21">
        <v>0</v>
      </c>
      <c r="AD68" s="1">
        <v>0</v>
      </c>
    </row>
    <row r="69" spans="2:30" x14ac:dyDescent="0.25">
      <c r="B69" s="1" t="s">
        <v>218</v>
      </c>
      <c r="C69" s="19" t="s">
        <v>219</v>
      </c>
      <c r="E69" s="20" t="s">
        <v>25</v>
      </c>
      <c r="G69" s="21">
        <v>5</v>
      </c>
      <c r="H69" s="21">
        <v>5</v>
      </c>
      <c r="I69" s="21">
        <v>5</v>
      </c>
      <c r="J69" s="21">
        <v>5</v>
      </c>
      <c r="K69" s="21">
        <v>5</v>
      </c>
      <c r="L69" s="21">
        <v>5</v>
      </c>
      <c r="M69" s="21">
        <v>5</v>
      </c>
      <c r="N69" s="21">
        <v>5</v>
      </c>
      <c r="O69" s="21">
        <v>5</v>
      </c>
      <c r="P69" s="21">
        <v>5</v>
      </c>
      <c r="Q69" s="21">
        <v>5</v>
      </c>
      <c r="R69" s="21">
        <v>5</v>
      </c>
      <c r="S69" s="21">
        <v>5</v>
      </c>
      <c r="T69" s="21">
        <v>5</v>
      </c>
      <c r="U69" s="21">
        <v>5</v>
      </c>
      <c r="V69" s="22">
        <v>5</v>
      </c>
      <c r="W69" s="21">
        <v>5</v>
      </c>
      <c r="X69" s="21">
        <v>5</v>
      </c>
      <c r="Y69" s="21">
        <v>5</v>
      </c>
      <c r="Z69" s="21">
        <v>5</v>
      </c>
      <c r="AA69" s="21">
        <v>5</v>
      </c>
      <c r="AB69" s="21">
        <v>0</v>
      </c>
      <c r="AC69" s="21">
        <v>0</v>
      </c>
      <c r="AD69" s="1">
        <v>0</v>
      </c>
    </row>
    <row r="70" spans="2:30" x14ac:dyDescent="0.25">
      <c r="C70" s="19" t="s">
        <v>220</v>
      </c>
      <c r="E70" s="20" t="s">
        <v>25</v>
      </c>
      <c r="G70" s="21">
        <v>5</v>
      </c>
      <c r="H70" s="21">
        <v>5</v>
      </c>
      <c r="I70" s="21">
        <v>5</v>
      </c>
      <c r="J70" s="21">
        <v>5</v>
      </c>
      <c r="K70" s="21">
        <v>5</v>
      </c>
      <c r="L70" s="21">
        <v>5</v>
      </c>
      <c r="M70" s="21">
        <v>5</v>
      </c>
      <c r="N70" s="21">
        <v>5</v>
      </c>
      <c r="O70" s="21">
        <v>5</v>
      </c>
      <c r="P70" s="21">
        <v>5</v>
      </c>
      <c r="Q70" s="21">
        <v>5</v>
      </c>
      <c r="R70" s="21">
        <v>5</v>
      </c>
      <c r="S70" s="21">
        <v>5</v>
      </c>
      <c r="T70" s="21">
        <v>5</v>
      </c>
      <c r="U70" s="21">
        <v>5</v>
      </c>
      <c r="V70" s="21">
        <v>5</v>
      </c>
      <c r="W70" s="22">
        <v>5</v>
      </c>
      <c r="X70" s="21">
        <v>5</v>
      </c>
      <c r="Y70" s="21">
        <v>5</v>
      </c>
      <c r="Z70" s="21">
        <v>5</v>
      </c>
      <c r="AA70" s="21">
        <v>5</v>
      </c>
      <c r="AB70" s="21">
        <v>5</v>
      </c>
      <c r="AC70" s="21">
        <v>0</v>
      </c>
      <c r="AD70" s="1">
        <v>0</v>
      </c>
    </row>
    <row r="71" spans="2:30" x14ac:dyDescent="0.25">
      <c r="B71" s="1" t="s">
        <v>19</v>
      </c>
      <c r="C71" s="20"/>
      <c r="E71" s="20" t="s">
        <v>12</v>
      </c>
      <c r="G71" s="21">
        <f>SUM(G16:G70)</f>
        <v>117</v>
      </c>
      <c r="H71" s="21"/>
      <c r="I71" s="21">
        <f t="shared" ref="I71:AD71" si="0">SUM(I16:I70)</f>
        <v>117</v>
      </c>
      <c r="J71" s="21">
        <f t="shared" si="0"/>
        <v>112</v>
      </c>
      <c r="K71" s="21">
        <f t="shared" si="0"/>
        <v>107</v>
      </c>
      <c r="L71" s="21">
        <f t="shared" si="0"/>
        <v>101</v>
      </c>
      <c r="M71" s="21">
        <f t="shared" si="0"/>
        <v>95</v>
      </c>
      <c r="N71" s="21">
        <f t="shared" si="0"/>
        <v>87</v>
      </c>
      <c r="O71" s="21">
        <f t="shared" si="0"/>
        <v>84</v>
      </c>
      <c r="P71" s="21">
        <f t="shared" si="0"/>
        <v>76</v>
      </c>
      <c r="Q71" s="21">
        <f t="shared" si="0"/>
        <v>72</v>
      </c>
      <c r="R71" s="21">
        <f t="shared" si="0"/>
        <v>67</v>
      </c>
      <c r="S71" s="21">
        <f t="shared" si="0"/>
        <v>61</v>
      </c>
      <c r="T71" s="21">
        <f t="shared" si="0"/>
        <v>55</v>
      </c>
      <c r="U71" s="21">
        <f t="shared" si="0"/>
        <v>48</v>
      </c>
      <c r="V71" s="21">
        <f t="shared" si="0"/>
        <v>40</v>
      </c>
      <c r="W71" s="25">
        <f t="shared" si="0"/>
        <v>36</v>
      </c>
      <c r="X71" s="21">
        <f t="shared" si="0"/>
        <v>32</v>
      </c>
      <c r="Y71" s="21">
        <f t="shared" si="0"/>
        <v>25</v>
      </c>
      <c r="Z71" s="21">
        <f t="shared" si="0"/>
        <v>20</v>
      </c>
      <c r="AA71" s="21">
        <f t="shared" si="0"/>
        <v>14</v>
      </c>
      <c r="AB71" s="21">
        <f t="shared" si="0"/>
        <v>5</v>
      </c>
      <c r="AC71" s="21">
        <f t="shared" si="0"/>
        <v>0</v>
      </c>
      <c r="AD71" s="1">
        <f t="shared" si="0"/>
        <v>0</v>
      </c>
    </row>
    <row r="72" spans="2:30" x14ac:dyDescent="0.25">
      <c r="B72" s="43"/>
      <c r="C72" s="75"/>
      <c r="E72" s="76" t="s">
        <v>13</v>
      </c>
      <c r="G72" s="77">
        <f>SUM(H16:H70)</f>
        <v>117</v>
      </c>
      <c r="H72" s="77"/>
      <c r="I72" s="77">
        <f t="shared" ref="I72:AD72" si="1">SUM(I16:I70)</f>
        <v>117</v>
      </c>
      <c r="J72" s="77">
        <f t="shared" si="1"/>
        <v>112</v>
      </c>
      <c r="K72" s="77">
        <f t="shared" si="1"/>
        <v>107</v>
      </c>
      <c r="L72" s="77">
        <f t="shared" si="1"/>
        <v>101</v>
      </c>
      <c r="M72" s="77">
        <f t="shared" si="1"/>
        <v>95</v>
      </c>
      <c r="N72" s="77">
        <f t="shared" si="1"/>
        <v>87</v>
      </c>
      <c r="O72" s="77">
        <f t="shared" si="1"/>
        <v>84</v>
      </c>
      <c r="P72" s="77">
        <f t="shared" si="1"/>
        <v>76</v>
      </c>
      <c r="Q72" s="77">
        <f t="shared" si="1"/>
        <v>72</v>
      </c>
      <c r="R72" s="77">
        <f t="shared" si="1"/>
        <v>67</v>
      </c>
      <c r="S72" s="77">
        <f t="shared" si="1"/>
        <v>61</v>
      </c>
      <c r="T72" s="77">
        <f t="shared" si="1"/>
        <v>55</v>
      </c>
      <c r="U72" s="77">
        <f t="shared" si="1"/>
        <v>48</v>
      </c>
      <c r="V72" s="77">
        <f t="shared" si="1"/>
        <v>40</v>
      </c>
      <c r="W72" s="77">
        <f t="shared" si="1"/>
        <v>36</v>
      </c>
      <c r="X72" s="78">
        <f t="shared" si="1"/>
        <v>32</v>
      </c>
      <c r="Y72" s="77">
        <f t="shared" si="1"/>
        <v>25</v>
      </c>
      <c r="Z72" s="77">
        <f t="shared" si="1"/>
        <v>20</v>
      </c>
      <c r="AA72" s="77">
        <f t="shared" si="1"/>
        <v>14</v>
      </c>
      <c r="AB72" s="77">
        <f t="shared" si="1"/>
        <v>5</v>
      </c>
      <c r="AC72" s="77">
        <f t="shared" si="1"/>
        <v>0</v>
      </c>
      <c r="AD72" s="1">
        <f t="shared" si="1"/>
        <v>0</v>
      </c>
    </row>
    <row r="73" spans="2:30" x14ac:dyDescent="0.25">
      <c r="B73" s="68"/>
      <c r="C73" s="66"/>
      <c r="D73" s="68"/>
      <c r="E73" s="67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9"/>
      <c r="Y73" s="68"/>
      <c r="Z73" s="68"/>
      <c r="AA73" s="68"/>
      <c r="AB73" s="68"/>
      <c r="AC73" s="68"/>
      <c r="AD73" s="68"/>
    </row>
    <row r="74" spans="2:30" x14ac:dyDescent="0.25">
      <c r="B74" s="68"/>
      <c r="C74" s="66"/>
      <c r="D74" s="68"/>
      <c r="E74" s="67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9"/>
      <c r="Y74" s="68"/>
      <c r="Z74" s="68"/>
      <c r="AA74" s="68"/>
      <c r="AB74" s="68"/>
      <c r="AC74" s="68"/>
      <c r="AD74" s="68"/>
    </row>
    <row r="75" spans="2:30" x14ac:dyDescent="0.25">
      <c r="B75" s="68"/>
      <c r="C75" s="66"/>
      <c r="D75" s="68"/>
      <c r="E75" s="67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9"/>
      <c r="Y75" s="68"/>
      <c r="Z75" s="68"/>
      <c r="AA75" s="68"/>
      <c r="AB75" s="68"/>
      <c r="AC75" s="68"/>
      <c r="AD75" s="68"/>
    </row>
    <row r="76" spans="2:30" x14ac:dyDescent="0.25">
      <c r="B76" s="68"/>
      <c r="C76" s="66"/>
      <c r="D76" s="68"/>
      <c r="E76" s="67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9"/>
      <c r="Z76" s="68"/>
      <c r="AA76" s="68"/>
      <c r="AB76" s="68"/>
      <c r="AC76" s="68"/>
      <c r="AD76" s="68"/>
    </row>
    <row r="77" spans="2:30" x14ac:dyDescent="0.25">
      <c r="B77" s="68"/>
      <c r="C77" s="66"/>
      <c r="D77" s="68"/>
      <c r="E77" s="67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9"/>
      <c r="Z77" s="68"/>
      <c r="AA77" s="68"/>
      <c r="AB77" s="68"/>
      <c r="AC77" s="68"/>
      <c r="AD77" s="68"/>
    </row>
    <row r="78" spans="2:30" x14ac:dyDescent="0.25">
      <c r="B78" s="68"/>
      <c r="C78" s="66"/>
      <c r="D78" s="68"/>
      <c r="E78" s="67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9"/>
      <c r="Z78" s="68"/>
      <c r="AA78" s="68"/>
      <c r="AB78" s="68"/>
      <c r="AC78" s="68"/>
      <c r="AD78" s="68"/>
    </row>
    <row r="79" spans="2:30" x14ac:dyDescent="0.25">
      <c r="B79" s="68"/>
      <c r="C79" s="66"/>
      <c r="D79" s="68"/>
      <c r="E79" s="67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9"/>
      <c r="Z79" s="68"/>
      <c r="AA79" s="68"/>
      <c r="AB79" s="68"/>
      <c r="AC79" s="68"/>
      <c r="AD79" s="68"/>
    </row>
    <row r="80" spans="2:30" x14ac:dyDescent="0.25">
      <c r="B80" s="68"/>
      <c r="C80" s="66"/>
      <c r="D80" s="68"/>
      <c r="E80" s="67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9"/>
      <c r="Z80" s="68"/>
      <c r="AA80" s="68"/>
      <c r="AB80" s="68"/>
      <c r="AC80" s="68"/>
      <c r="AD80" s="68"/>
    </row>
    <row r="81" spans="2:30" x14ac:dyDescent="0.25">
      <c r="B81" s="68"/>
      <c r="C81" s="66"/>
      <c r="D81" s="68"/>
      <c r="E81" s="67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9"/>
      <c r="Z81" s="68"/>
      <c r="AA81" s="68"/>
      <c r="AB81" s="68"/>
      <c r="AC81" s="68"/>
      <c r="AD81" s="68"/>
    </row>
    <row r="82" spans="2:30" x14ac:dyDescent="0.25">
      <c r="B82" s="70"/>
      <c r="C82" s="66"/>
      <c r="D82" s="68"/>
      <c r="E82" s="67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9"/>
      <c r="AA82" s="68"/>
      <c r="AB82" s="68"/>
      <c r="AC82" s="68"/>
      <c r="AD82" s="68"/>
    </row>
    <row r="83" spans="2:30" x14ac:dyDescent="0.25">
      <c r="B83" s="68"/>
      <c r="C83" s="67"/>
      <c r="D83" s="68"/>
      <c r="E83" s="67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71"/>
      <c r="AA83" s="68"/>
      <c r="AB83" s="68"/>
      <c r="AC83" s="68"/>
      <c r="AD83" s="68"/>
    </row>
    <row r="84" spans="2:30" x14ac:dyDescent="0.25">
      <c r="B84" s="68"/>
      <c r="C84" s="66"/>
      <c r="D84" s="68"/>
      <c r="E84" s="67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9"/>
      <c r="AA84" s="68"/>
      <c r="AB84" s="68"/>
      <c r="AC84" s="68"/>
      <c r="AD84" s="68"/>
    </row>
    <row r="85" spans="2:30" x14ac:dyDescent="0.25">
      <c r="B85" s="68"/>
      <c r="C85" s="66"/>
      <c r="D85" s="68"/>
      <c r="E85" s="67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9"/>
      <c r="AA85" s="68"/>
      <c r="AB85" s="68"/>
      <c r="AC85" s="68"/>
      <c r="AD85" s="68"/>
    </row>
    <row r="86" spans="2:30" x14ac:dyDescent="0.25">
      <c r="B86" s="68"/>
      <c r="C86" s="66"/>
      <c r="D86" s="68"/>
      <c r="E86" s="67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9"/>
      <c r="AB86" s="68"/>
      <c r="AC86" s="68"/>
      <c r="AD86" s="68"/>
    </row>
    <row r="87" spans="2:30" x14ac:dyDescent="0.25">
      <c r="B87" s="68"/>
      <c r="C87" s="66"/>
      <c r="D87" s="68"/>
      <c r="E87" s="67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9"/>
      <c r="AB87" s="68"/>
      <c r="AC87" s="68"/>
      <c r="AD87" s="68"/>
    </row>
    <row r="88" spans="2:30" x14ac:dyDescent="0.25">
      <c r="B88" s="68"/>
      <c r="C88" s="67"/>
      <c r="D88" s="68"/>
      <c r="E88" s="67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72"/>
      <c r="AB88" s="68"/>
      <c r="AC88" s="68"/>
      <c r="AD88" s="68"/>
    </row>
    <row r="89" spans="2:30" x14ac:dyDescent="0.25">
      <c r="B89" s="68"/>
      <c r="C89" s="68"/>
      <c r="D89" s="68"/>
      <c r="E89" s="67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9"/>
      <c r="AB89" s="68"/>
      <c r="AC89" s="68"/>
      <c r="AD89" s="68"/>
    </row>
    <row r="90" spans="2:30" x14ac:dyDescent="0.25">
      <c r="B90" s="68"/>
      <c r="C90" s="68"/>
      <c r="D90" s="68"/>
      <c r="E90" s="67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9"/>
      <c r="AB90" s="68"/>
      <c r="AC90" s="68"/>
      <c r="AD90" s="68"/>
    </row>
    <row r="91" spans="2:30" x14ac:dyDescent="0.25">
      <c r="B91" s="68"/>
      <c r="C91" s="68"/>
      <c r="D91" s="68"/>
      <c r="E91" s="67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9"/>
      <c r="AB91" s="68"/>
      <c r="AC91" s="68"/>
      <c r="AD91" s="68"/>
    </row>
    <row r="92" spans="2:30" x14ac:dyDescent="0.25">
      <c r="B92" s="68"/>
      <c r="C92" s="68"/>
      <c r="D92" s="68"/>
      <c r="E92" s="67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9"/>
      <c r="AB92" s="68"/>
      <c r="AC92" s="68"/>
      <c r="AD92" s="68"/>
    </row>
    <row r="93" spans="2:30" x14ac:dyDescent="0.25">
      <c r="B93" s="68"/>
      <c r="C93" s="68"/>
      <c r="D93" s="68"/>
      <c r="E93" s="67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9"/>
      <c r="AB93" s="68"/>
      <c r="AC93" s="68"/>
      <c r="AD93" s="68"/>
    </row>
    <row r="94" spans="2:30" x14ac:dyDescent="0.25">
      <c r="B94" s="70"/>
      <c r="C94" s="66"/>
      <c r="D94" s="68"/>
      <c r="E94" s="67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9"/>
      <c r="AC94" s="68"/>
      <c r="AD94" s="68"/>
    </row>
    <row r="95" spans="2:30" x14ac:dyDescent="0.25">
      <c r="B95" s="68"/>
      <c r="C95" s="66"/>
      <c r="D95" s="68"/>
      <c r="E95" s="67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9"/>
      <c r="AC95" s="68"/>
      <c r="AD95" s="68"/>
    </row>
    <row r="96" spans="2:30" x14ac:dyDescent="0.25">
      <c r="B96" s="68"/>
      <c r="C96" s="67"/>
      <c r="D96" s="68"/>
      <c r="E96" s="67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72"/>
      <c r="AC96" s="68"/>
      <c r="AD96" s="68"/>
    </row>
    <row r="97" spans="2:30" x14ac:dyDescent="0.25">
      <c r="B97" s="68"/>
      <c r="C97" s="66"/>
      <c r="D97" s="68"/>
      <c r="E97" s="67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9"/>
      <c r="AC97" s="68"/>
      <c r="AD97" s="68"/>
    </row>
    <row r="98" spans="2:30" x14ac:dyDescent="0.25">
      <c r="B98" s="68"/>
      <c r="C98" s="66"/>
      <c r="D98" s="68"/>
      <c r="E98" s="67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9"/>
      <c r="AC98" s="68"/>
      <c r="AD98" s="68"/>
    </row>
    <row r="99" spans="2:30" x14ac:dyDescent="0.25">
      <c r="B99" s="68"/>
      <c r="C99" s="66"/>
      <c r="D99" s="68"/>
      <c r="E99" s="67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9"/>
      <c r="AC99" s="68"/>
      <c r="AD99" s="68"/>
    </row>
    <row r="100" spans="2:30" x14ac:dyDescent="0.25">
      <c r="B100" s="68"/>
      <c r="C100" s="67"/>
      <c r="D100" s="68"/>
      <c r="E100" s="67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72"/>
      <c r="AC100" s="68"/>
      <c r="AD100" s="68"/>
    </row>
    <row r="101" spans="2:30" x14ac:dyDescent="0.25">
      <c r="B101" s="68"/>
      <c r="C101" s="66"/>
      <c r="D101" s="68"/>
      <c r="E101" s="67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9"/>
      <c r="AC101" s="68"/>
      <c r="AD101" s="68"/>
    </row>
    <row r="102" spans="2:30" x14ac:dyDescent="0.25">
      <c r="B102" s="68"/>
      <c r="C102" s="66"/>
      <c r="D102" s="68"/>
      <c r="E102" s="67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9"/>
      <c r="AC102" s="68"/>
      <c r="AD102" s="68"/>
    </row>
    <row r="103" spans="2:30" x14ac:dyDescent="0.25">
      <c r="B103" s="68"/>
      <c r="C103" s="66"/>
      <c r="D103" s="68"/>
      <c r="E103" s="67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9"/>
      <c r="AC103" s="68"/>
      <c r="AD103" s="68"/>
    </row>
    <row r="104" spans="2:30" x14ac:dyDescent="0.25">
      <c r="B104" s="68"/>
      <c r="C104" s="66"/>
      <c r="D104" s="68"/>
      <c r="E104" s="67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9"/>
      <c r="AC104" s="68"/>
      <c r="AD104" s="68"/>
    </row>
    <row r="105" spans="2:30" x14ac:dyDescent="0.25">
      <c r="B105" s="68"/>
      <c r="C105" s="66"/>
      <c r="D105" s="68"/>
      <c r="E105" s="67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9"/>
      <c r="AC105" s="68"/>
      <c r="AD105" s="68"/>
    </row>
    <row r="106" spans="2:30" x14ac:dyDescent="0.25">
      <c r="B106" s="70"/>
      <c r="C106" s="66"/>
      <c r="D106" s="68"/>
      <c r="E106" s="67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9"/>
      <c r="AD106" s="68"/>
    </row>
    <row r="107" spans="2:30" x14ac:dyDescent="0.25">
      <c r="B107" s="68"/>
      <c r="C107" s="66"/>
      <c r="D107" s="68"/>
      <c r="E107" s="67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9"/>
      <c r="AD107" s="68"/>
    </row>
    <row r="108" spans="2:30" x14ac:dyDescent="0.25">
      <c r="B108" s="73"/>
      <c r="C108" s="68"/>
      <c r="D108" s="68"/>
      <c r="E108" s="74"/>
      <c r="F108" s="68"/>
      <c r="G108" s="67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</row>
    <row r="109" spans="2:30" x14ac:dyDescent="0.25">
      <c r="B109" s="68"/>
      <c r="C109" s="68"/>
      <c r="D109" s="68"/>
      <c r="E109" s="74"/>
      <c r="F109" s="68"/>
      <c r="G109" s="67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</row>
    <row r="110" spans="2:30" x14ac:dyDescent="0.25"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"/>
  <sheetViews>
    <sheetView zoomScaleNormal="100" workbookViewId="0">
      <selection activeCell="N20" sqref="N20"/>
    </sheetView>
  </sheetViews>
  <sheetFormatPr defaultColWidth="8.7109375" defaultRowHeight="15" x14ac:dyDescent="0.25"/>
  <cols>
    <col min="2" max="11" width="10" customWidth="1"/>
  </cols>
  <sheetData>
    <row r="1" spans="1:11" ht="16.5" customHeight="1" x14ac:dyDescent="0.25">
      <c r="A1" s="44" t="s">
        <v>221</v>
      </c>
    </row>
    <row r="2" spans="1:11" ht="16.5" customHeight="1" x14ac:dyDescent="0.25">
      <c r="A2" s="45"/>
      <c r="B2" s="46" t="s">
        <v>14</v>
      </c>
      <c r="D2" s="46" t="s">
        <v>15</v>
      </c>
      <c r="F2" s="46" t="s">
        <v>16</v>
      </c>
      <c r="H2" s="46" t="s">
        <v>17</v>
      </c>
      <c r="J2" s="46" t="s">
        <v>18</v>
      </c>
    </row>
    <row r="3" spans="1:11" ht="16.5" customHeight="1" x14ac:dyDescent="0.25">
      <c r="B3" s="46" t="s">
        <v>12</v>
      </c>
      <c r="C3" s="46" t="s">
        <v>13</v>
      </c>
      <c r="D3" s="46" t="s">
        <v>12</v>
      </c>
      <c r="E3" s="46" t="s">
        <v>13</v>
      </c>
      <c r="F3" s="46" t="s">
        <v>12</v>
      </c>
      <c r="G3" s="46" t="s">
        <v>13</v>
      </c>
      <c r="H3" s="46" t="s">
        <v>12</v>
      </c>
      <c r="I3" s="46" t="s">
        <v>13</v>
      </c>
      <c r="J3" s="46" t="s">
        <v>12</v>
      </c>
      <c r="K3" s="47" t="s">
        <v>13</v>
      </c>
    </row>
    <row r="4" spans="1:11" ht="16.5" customHeight="1" x14ac:dyDescent="0.25">
      <c r="A4" s="48" t="s">
        <v>4</v>
      </c>
      <c r="B4" s="49">
        <f ca="1">'Sprint 1'!$D$8</f>
        <v>29.700000000000003</v>
      </c>
      <c r="C4" s="49">
        <f ca="1">'Sprint 1'!$E$8</f>
        <v>29.700000000000003</v>
      </c>
      <c r="D4" s="49">
        <f ca="1">'Sprint 1'!$D$9</f>
        <v>35.700000000000003</v>
      </c>
      <c r="E4" s="49">
        <f ca="1">'Sprint 1'!$E$9</f>
        <v>35.700000000000003</v>
      </c>
      <c r="F4" s="49">
        <f ca="1">'Sprint 1'!$D$10</f>
        <v>27.700000000000003</v>
      </c>
      <c r="G4" s="49">
        <f ca="1">'Sprint 1'!$E$10</f>
        <v>27.700000000000003</v>
      </c>
      <c r="H4" s="49">
        <f ca="1">'Sprint 1'!$D$11</f>
        <v>27.200000000000003</v>
      </c>
      <c r="I4" s="49">
        <f ca="1">'Sprint 1'!$E$11</f>
        <v>27.200000000000003</v>
      </c>
      <c r="J4" s="49">
        <f ca="1">'Sprint 1'!$D$12</f>
        <v>16.7</v>
      </c>
      <c r="K4" s="49">
        <f ca="1">'Sprint 1'!$E$12</f>
        <v>16.7</v>
      </c>
    </row>
    <row r="5" spans="1:11" ht="16.5" customHeight="1" x14ac:dyDescent="0.25">
      <c r="A5" s="48" t="s">
        <v>96</v>
      </c>
      <c r="B5" s="49">
        <f ca="1">'Sprint 2'!$D$8</f>
        <v>17</v>
      </c>
      <c r="C5" s="49">
        <f ca="1">'Sprint 2'!$E$8</f>
        <v>17</v>
      </c>
      <c r="D5" s="49">
        <f ca="1">'Sprint 2'!$D$9</f>
        <v>26</v>
      </c>
      <c r="E5" s="49">
        <f ca="1">'Sprint 2'!$E$9</f>
        <v>26</v>
      </c>
      <c r="F5" s="49">
        <f ca="1">'Sprint 2'!$D$10</f>
        <v>29.5</v>
      </c>
      <c r="G5" s="49">
        <f ca="1">'Sprint 2'!$E$10</f>
        <v>29.5</v>
      </c>
      <c r="H5" s="49">
        <f ca="1">'Sprint 2'!$D$11</f>
        <v>33</v>
      </c>
      <c r="I5" s="49">
        <f ca="1">'Sprint 2'!$E$11</f>
        <v>33</v>
      </c>
      <c r="J5" s="49">
        <f ca="1">'Sprint 2'!$D$12</f>
        <v>17.5</v>
      </c>
      <c r="K5" s="49">
        <f ca="1">'Sprint 2'!$E$12</f>
        <v>17.5</v>
      </c>
    </row>
    <row r="6" spans="1:11" ht="16.5" customHeight="1" x14ac:dyDescent="0.25">
      <c r="A6" s="48" t="s">
        <v>162</v>
      </c>
      <c r="B6" s="49">
        <f ca="1">'Sprint 3'!$D$8</f>
        <v>16.3</v>
      </c>
      <c r="C6" s="49">
        <f ca="1">'Sprint 3'!$E$8</f>
        <v>16.3</v>
      </c>
      <c r="D6" s="49">
        <f ca="1">'Sprint 3'!$D$9</f>
        <v>20.8</v>
      </c>
      <c r="E6" s="49">
        <f ca="1">'Sprint 3'!$E$9</f>
        <v>20.8</v>
      </c>
      <c r="F6" s="49">
        <f ca="1">'Sprint 3'!$D$10</f>
        <v>26.8</v>
      </c>
      <c r="G6" s="49">
        <f ca="1">'Sprint 3'!$E$10</f>
        <v>26.8</v>
      </c>
      <c r="H6" s="49">
        <f ca="1">'Sprint 3'!$D$11</f>
        <v>31.3</v>
      </c>
      <c r="I6" s="49">
        <f ca="1">'Sprint 3'!$E$11</f>
        <v>31.3</v>
      </c>
      <c r="J6" s="49">
        <f ca="1">'Sprint 3'!$D$12</f>
        <v>21.8</v>
      </c>
      <c r="K6" s="49">
        <f ca="1">'Sprint 3'!$E$12</f>
        <v>21.8</v>
      </c>
    </row>
    <row r="7" spans="1:11" ht="17.25" customHeight="1" x14ac:dyDescent="0.25">
      <c r="A7" s="50" t="s">
        <v>19</v>
      </c>
      <c r="B7" s="51">
        <f t="shared" ref="B7:K7" ca="1" si="0">SUM(B4:B6)</f>
        <v>63</v>
      </c>
      <c r="C7" s="51">
        <f t="shared" ca="1" si="0"/>
        <v>63</v>
      </c>
      <c r="D7" s="51">
        <f t="shared" ca="1" si="0"/>
        <v>82.5</v>
      </c>
      <c r="E7" s="51">
        <f t="shared" ca="1" si="0"/>
        <v>82.5</v>
      </c>
      <c r="F7" s="51">
        <f t="shared" ca="1" si="0"/>
        <v>84</v>
      </c>
      <c r="G7" s="51">
        <f t="shared" ca="1" si="0"/>
        <v>84</v>
      </c>
      <c r="H7" s="51">
        <f t="shared" ca="1" si="0"/>
        <v>91.5</v>
      </c>
      <c r="I7" s="51">
        <f t="shared" ca="1" si="0"/>
        <v>91.5</v>
      </c>
      <c r="J7" s="51">
        <f t="shared" ca="1" si="0"/>
        <v>56</v>
      </c>
      <c r="K7" s="51">
        <f t="shared" ca="1" si="0"/>
        <v>56</v>
      </c>
    </row>
    <row r="9" spans="1:11" ht="15" customHeight="1" x14ac:dyDescent="0.25"/>
    <row r="10" spans="1:11" ht="16.5" customHeight="1" x14ac:dyDescent="0.25">
      <c r="E10" s="52" t="s">
        <v>222</v>
      </c>
    </row>
    <row r="11" spans="1:11" ht="16.5" customHeight="1" x14ac:dyDescent="0.25">
      <c r="E11" s="53" t="s">
        <v>12</v>
      </c>
      <c r="F11" s="54">
        <f ca="1">SUMIF($B$3:$K$3,"Thực tế",$B$7:$K$7)</f>
        <v>377</v>
      </c>
    </row>
    <row r="12" spans="1:11" ht="17.25" customHeight="1" x14ac:dyDescent="0.25">
      <c r="E12" s="55" t="s">
        <v>13</v>
      </c>
      <c r="F12" s="56">
        <f ca="1">SUMIF($B$3:$K$3,"Ước tính",$B$7:$K$7)</f>
        <v>377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dc:description/>
  <cp:lastModifiedBy>Admin</cp:lastModifiedBy>
  <cp:revision>1</cp:revision>
  <dcterms:created xsi:type="dcterms:W3CDTF">2021-04-23T08:05:10Z</dcterms:created>
  <dcterms:modified xsi:type="dcterms:W3CDTF">2026-05-09T09:51:18Z</dcterms:modified>
  <dc:language>en-US</dc:language>
</cp:coreProperties>
</file>